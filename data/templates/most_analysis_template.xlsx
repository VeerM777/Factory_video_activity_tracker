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MOST Library\"/>
    </mc:Choice>
  </mc:AlternateContent>
  <xr:revisionPtr revIDLastSave="0" documentId="13_ncr:1_{33EC5DF2-E5AE-4691-B43E-93E078199519}" xr6:coauthVersionLast="47" xr6:coauthVersionMax="47" xr10:uidLastSave="{00000000-0000-0000-0000-000000000000}"/>
  <bookViews>
    <workbookView xWindow="-108" yWindow="-108" windowWidth="23256" windowHeight="12456" xr2:uid="{4C4AC564-061A-4E09-978F-CB47EA7F7DC4}"/>
  </bookViews>
  <sheets>
    <sheet name="MOST Analysis" sheetId="1" r:id="rId1"/>
    <sheet name="VA SVA NVA Summary" sheetId="2" r:id="rId2"/>
  </sheets>
  <definedNames>
    <definedName name="____KLO2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____RTS1">#REF!</definedName>
    <definedName name="____RTS2">#REF!</definedName>
    <definedName name="___KLO2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___RTS1">#REF!</definedName>
    <definedName name="___RTS2">#REF!</definedName>
    <definedName name="__KLO2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__RTS1">#REF!</definedName>
    <definedName name="__RTS2">#REF!</definedName>
    <definedName name="_3310">+#REF!+#REF!+#REF!+#REF!+#REF!+#REF!+#REF!+#REF!+#REF!+#REF!+#REF!+#REF!+#REF!+#REF!</definedName>
    <definedName name="_3380">+#REF!+#REF!+#REF!+#REF!+#REF!+#REF!+#REF!+#REF!+#REF!+#REF!+#REF!+#REF!+#REF!+#REF!</definedName>
    <definedName name="_33C0">+#REF!+#REF!+#REF!+#REF!+#REF!+#REF!+#REF!+#REF!+#REF!+#REF!+#REF!+#REF!+#REF!+#REF!</definedName>
    <definedName name="_34D0">+#REF!+#REF!+#REF!+#REF!+#REF!+#REF!+#REF!+#REF!+#REF!+#REF!+#REF!+#REF!+#REF!+#REF!</definedName>
    <definedName name="_xlnm._FilterDatabase" localSheetId="0" hidden="1">'MOST Analysis'!$A$1:$AC$31</definedName>
    <definedName name="_xlnm._FilterDatabase" localSheetId="1" hidden="1">'VA SVA NVA Summary'!$A$1:$G$53</definedName>
    <definedName name="_KLO2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_RTS1">#REF!</definedName>
    <definedName name="_RTS2">#REF!</definedName>
    <definedName name="_RTS4">#REF!</definedName>
    <definedName name="Abnormal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ABNORMAL2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ACTMTH">#REF!</definedName>
    <definedName name="ACTYTD">#REF!</definedName>
    <definedName name="AOPMTH">#REF!</definedName>
    <definedName name="AOPYTD">#REF!</definedName>
    <definedName name="aud">#REF!</definedName>
    <definedName name="AUD_Rates">#REF!</definedName>
    <definedName name="Baldate">#REF!</definedName>
    <definedName name="baltodate">#REF!</definedName>
    <definedName name="budgper">#REF!</definedName>
    <definedName name="budgtodate">#REF!</definedName>
    <definedName name="capchg">#REF!</definedName>
    <definedName name="Capital_charge">#REF!</definedName>
    <definedName name="Co_code">#REF!</definedName>
    <definedName name="csDesignMode">1</definedName>
    <definedName name="Dividend_at_percent_flag">#REF!</definedName>
    <definedName name="DOM_PRICE_INFLATOR">#REF!</definedName>
    <definedName name="EBIT___Net_Sales_Analysis">#REF!</definedName>
    <definedName name="EBIT_Comparison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EBIT_COMPARISON2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EPS">#REF!</definedName>
    <definedName name="F00actcashflow">#REF!</definedName>
    <definedName name="F00Cashflow">#REF!</definedName>
    <definedName name="F00QCashflow">#REF!</definedName>
    <definedName name="F99GRPcashflow">#REF!</definedName>
    <definedName name="F99nzwscashflow">#REF!</definedName>
    <definedName name="Gearing_Limit_Flag">#REF!</definedName>
    <definedName name="Goodwill_Amortisation">#REF!</definedName>
    <definedName name="INTEREST">#REF!</definedName>
    <definedName name="klo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LYMTH">#REF!</definedName>
    <definedName name="LYYTD">#REF!</definedName>
    <definedName name="Market_Cap">#REF!</definedName>
    <definedName name="MONTH">#REF!</definedName>
    <definedName name="moveper">#REF!</definedName>
    <definedName name="Op_Share_Price">#REF!</definedName>
    <definedName name="opex_split">#REF!</definedName>
    <definedName name="Output_Cashflow">#REF!</definedName>
    <definedName name="Pepsi_Op_Stat">#REF!</definedName>
    <definedName name="Report10_data">#REF!</definedName>
    <definedName name="Scenario">#REF!</definedName>
    <definedName name="Share_on_Issue">#REF!</definedName>
    <definedName name="Share_Price">#REF!</definedName>
    <definedName name="Share_Price_ER">#REF!</definedName>
    <definedName name="split_cost_of_sales">#REF!</definedName>
    <definedName name="Start_Year">1994</definedName>
    <definedName name="Start10">#REF!</definedName>
    <definedName name="state_split">#REF!</definedName>
    <definedName name="theSheets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THESHEETS2">{"[UserDef.XLS]Group Structure";"[UserDef.XLS]Macros";"[UserDef.XLS]Corporate Inputs";"[UserDef.XLS]Financial Projections Summary";"[UserDef.XLS]Consolidated P &amp; L";"[UserDef.XLS]Group Cashflow";"[UserDef.XLS]Balance Sheet - Funding";"[UserDef.XLS]Business Group Cashflow";"[UserDef.XLS]Market Outcomes";"[UserDef.XLS]Key Ratios";"[UserDef.XLS]Capital Structure";"[UserDef.XLS]Interest Debt";"[UserDef.XLS]Taxation";"[UserDef.XLS]Minority Interests";"[UserDef.XLS]Value Data";"[UserDef.XLS]Value Graphs";"[UserDef.XLS]Engine Room";"[UserDef.XLS]Corporate Balance Sheet";"[UserDef.XLS]Region Template Unlinked";"[UserDef.XLS]Region Template Linked";"[UserDef.XLS]Business Group Template";"[UserDef.XLS]Lion Nathan Group Template"}</definedName>
    <definedName name="Tot_SHF">#REF!</definedName>
    <definedName name="Variable_Entity">#REF!</definedName>
    <definedName name="Variable_Period">#REF!</definedName>
    <definedName name="Variable_Year">#REF!</definedName>
    <definedName name="wrn.misc." hidden="1">{#N/A,#N/A,FALSE,"Sheet10"}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Z6" i="1"/>
  <c r="AA6" i="1"/>
  <c r="Y7" i="1"/>
  <c r="Z7" i="1"/>
  <c r="AA7" i="1"/>
  <c r="Y8" i="1"/>
  <c r="Z8" i="1"/>
  <c r="AB8" i="1"/>
  <c r="Y9" i="1"/>
  <c r="Z9" i="1"/>
  <c r="AB9" i="1"/>
  <c r="Y10" i="1"/>
  <c r="Z10" i="1"/>
  <c r="AA10" i="1"/>
  <c r="Y11" i="1"/>
  <c r="Z11" i="1"/>
  <c r="AA11" i="1"/>
  <c r="Y12" i="1"/>
  <c r="Z12" i="1"/>
  <c r="AA12" i="1"/>
  <c r="Y13" i="1"/>
  <c r="Z13" i="1"/>
  <c r="AA13" i="1"/>
  <c r="Y14" i="1"/>
  <c r="Z14" i="1"/>
  <c r="AA14" i="1"/>
  <c r="Y15" i="1"/>
  <c r="Z15" i="1"/>
  <c r="AA15" i="1"/>
  <c r="Y16" i="1"/>
  <c r="Z16" i="1"/>
  <c r="AB16" i="1"/>
  <c r="Y17" i="1"/>
  <c r="Z17" i="1"/>
  <c r="AA17" i="1"/>
  <c r="Y18" i="1"/>
  <c r="Z18" i="1"/>
  <c r="AA18" i="1"/>
  <c r="Y19" i="1"/>
  <c r="Z19" i="1"/>
  <c r="AA19" i="1"/>
  <c r="Z20" i="1"/>
  <c r="AA20" i="1"/>
  <c r="AB20" i="1"/>
  <c r="Y21" i="1"/>
  <c r="Z21" i="1"/>
  <c r="AA21" i="1"/>
  <c r="Z22" i="1"/>
  <c r="AA22" i="1"/>
  <c r="AB22" i="1"/>
  <c r="Y23" i="1"/>
  <c r="Z23" i="1"/>
  <c r="AA23" i="1"/>
  <c r="Z24" i="1"/>
  <c r="AA24" i="1"/>
  <c r="AB24" i="1"/>
  <c r="Y25" i="1"/>
  <c r="Z25" i="1"/>
  <c r="AA25" i="1"/>
  <c r="Z26" i="1"/>
  <c r="AA26" i="1"/>
  <c r="AB26" i="1"/>
  <c r="Y27" i="1"/>
  <c r="Z27" i="1"/>
  <c r="AA27" i="1"/>
  <c r="Y28" i="1"/>
  <c r="Z28" i="1"/>
  <c r="AA28" i="1"/>
  <c r="Y29" i="1"/>
  <c r="Z29" i="1"/>
  <c r="AA29" i="1"/>
  <c r="Y30" i="1"/>
  <c r="Z30" i="1"/>
  <c r="AA30" i="1"/>
  <c r="Y31" i="1"/>
  <c r="Z31" i="1"/>
  <c r="AA31" i="1"/>
  <c r="S16" i="1"/>
  <c r="W16" i="1" s="1"/>
  <c r="AA16" i="1" s="1"/>
  <c r="S17" i="1"/>
  <c r="W17" i="1" s="1"/>
  <c r="AB17" i="1" s="1"/>
  <c r="S18" i="1"/>
  <c r="W18" i="1" s="1"/>
  <c r="AB18" i="1" s="1"/>
  <c r="S19" i="1"/>
  <c r="W19" i="1" s="1"/>
  <c r="AB19" i="1" s="1"/>
  <c r="S20" i="1"/>
  <c r="W20" i="1" s="1"/>
  <c r="Y20" i="1" s="1"/>
  <c r="S21" i="1"/>
  <c r="W21" i="1" s="1"/>
  <c r="AB21" i="1" s="1"/>
  <c r="S22" i="1"/>
  <c r="W22" i="1" s="1"/>
  <c r="Y22" i="1" s="1"/>
  <c r="S23" i="1"/>
  <c r="W23" i="1" s="1"/>
  <c r="AB23" i="1" s="1"/>
  <c r="S24" i="1"/>
  <c r="W24" i="1" s="1"/>
  <c r="Y24" i="1" s="1"/>
  <c r="S25" i="1"/>
  <c r="W25" i="1" s="1"/>
  <c r="AB25" i="1" s="1"/>
  <c r="S26" i="1"/>
  <c r="W26" i="1" s="1"/>
  <c r="Y26" i="1" s="1"/>
  <c r="S27" i="1"/>
  <c r="W27" i="1" s="1"/>
  <c r="AB27" i="1" s="1"/>
  <c r="S28" i="1"/>
  <c r="W28" i="1" s="1"/>
  <c r="AB28" i="1" s="1"/>
  <c r="S29" i="1"/>
  <c r="W29" i="1" s="1"/>
  <c r="AB29" i="1" s="1"/>
  <c r="S30" i="1"/>
  <c r="W30" i="1" s="1"/>
  <c r="AB30" i="1" s="1"/>
  <c r="S31" i="1"/>
  <c r="W31" i="1" s="1"/>
  <c r="AB31" i="1" s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S15" i="1"/>
  <c r="W15" i="1" s="1"/>
  <c r="AB15" i="1" s="1"/>
  <c r="S14" i="1"/>
  <c r="W14" i="1" s="1"/>
  <c r="AB14" i="1" s="1"/>
  <c r="S13" i="1"/>
  <c r="W13" i="1" s="1"/>
  <c r="AB13" i="1" s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S12" i="1"/>
  <c r="W12" i="1" s="1"/>
  <c r="AB12" i="1" s="1"/>
  <c r="S6" i="1"/>
  <c r="W6" i="1" s="1"/>
  <c r="AB6" i="1" s="1"/>
  <c r="S7" i="1"/>
  <c r="W7" i="1" s="1"/>
  <c r="AB7" i="1" s="1"/>
  <c r="S8" i="1"/>
  <c r="W8" i="1" s="1"/>
  <c r="AA8" i="1" s="1"/>
  <c r="S9" i="1"/>
  <c r="W9" i="1" s="1"/>
  <c r="AA9" i="1" s="1"/>
  <c r="S10" i="1"/>
  <c r="W10" i="1" s="1"/>
  <c r="AB10" i="1" s="1"/>
  <c r="S11" i="1"/>
  <c r="W11" i="1" s="1"/>
  <c r="AB11" i="1" s="1"/>
  <c r="Q6" i="1"/>
  <c r="Q7" i="1"/>
  <c r="Q8" i="1"/>
  <c r="Q9" i="1"/>
  <c r="Q10" i="1"/>
  <c r="Q11" i="1"/>
  <c r="Q12" i="1"/>
  <c r="F19" i="2"/>
  <c r="G19" i="2" s="1"/>
  <c r="F8" i="2"/>
  <c r="G8" i="2" s="1"/>
  <c r="F10" i="2"/>
  <c r="G10" i="2" s="1"/>
  <c r="F11" i="2"/>
  <c r="G11" i="2" s="1"/>
  <c r="F14" i="2"/>
  <c r="G14" i="2" s="1"/>
  <c r="F16" i="2"/>
  <c r="G16" i="2" s="1"/>
  <c r="F17" i="2"/>
  <c r="G17" i="2" s="1"/>
  <c r="F20" i="2"/>
  <c r="G20" i="2" s="1"/>
  <c r="F22" i="2"/>
  <c r="G22" i="2" s="1"/>
  <c r="F23" i="2"/>
  <c r="G23" i="2" s="1"/>
  <c r="F25" i="2"/>
  <c r="G25" i="2" s="1"/>
  <c r="F30" i="2"/>
  <c r="G30" i="2" s="1"/>
  <c r="F40" i="2"/>
  <c r="G40" i="2" s="1"/>
  <c r="F42" i="2"/>
  <c r="G42" i="2" s="1"/>
  <c r="F44" i="2"/>
  <c r="G44" i="2" s="1"/>
  <c r="F46" i="2"/>
  <c r="G46" i="2" s="1"/>
  <c r="F49" i="2"/>
  <c r="G49" i="2" s="1"/>
  <c r="F52" i="2"/>
  <c r="G52" i="2" s="1"/>
  <c r="F2" i="2"/>
  <c r="W4" i="1" l="1"/>
  <c r="F13" i="2"/>
  <c r="G13" i="2" s="1"/>
  <c r="F5" i="2"/>
  <c r="G5" i="2" s="1"/>
  <c r="F21" i="2"/>
  <c r="G21" i="2" s="1"/>
  <c r="F37" i="2"/>
  <c r="G37" i="2" s="1"/>
  <c r="F12" i="2"/>
  <c r="G12" i="2" s="1"/>
  <c r="F41" i="2"/>
  <c r="G41" i="2" s="1"/>
  <c r="F36" i="2"/>
  <c r="G36" i="2" s="1"/>
  <c r="F9" i="2"/>
  <c r="G9" i="2" s="1"/>
  <c r="F45" i="2"/>
  <c r="G45" i="2" s="1"/>
  <c r="F38" i="2"/>
  <c r="G38" i="2" s="1"/>
  <c r="F31" i="2"/>
  <c r="G31" i="2" s="1"/>
  <c r="F18" i="2"/>
  <c r="G18" i="2" s="1"/>
  <c r="F35" i="2"/>
  <c r="G35" i="2" s="1"/>
  <c r="F32" i="2"/>
  <c r="G32" i="2" s="1"/>
  <c r="F33" i="2"/>
  <c r="G33" i="2" s="1"/>
  <c r="F24" i="2"/>
  <c r="G24" i="2" s="1"/>
  <c r="F4" i="2"/>
  <c r="G4" i="2" s="1"/>
  <c r="F39" i="2"/>
  <c r="G39" i="2" s="1"/>
  <c r="F48" i="2"/>
  <c r="G48" i="2" s="1"/>
  <c r="F43" i="2"/>
  <c r="G43" i="2" s="1"/>
  <c r="F47" i="2"/>
  <c r="G47" i="2" s="1"/>
  <c r="F34" i="2"/>
  <c r="G34" i="2" s="1"/>
  <c r="F28" i="2"/>
  <c r="G28" i="2" s="1"/>
  <c r="F15" i="2"/>
  <c r="G15" i="2" s="1"/>
  <c r="F29" i="2"/>
  <c r="G29" i="2" s="1"/>
  <c r="F7" i="2"/>
  <c r="G7" i="2" s="1"/>
  <c r="F6" i="2"/>
  <c r="G6" i="2" s="1"/>
  <c r="F27" i="2"/>
  <c r="G27" i="2" s="1"/>
  <c r="F50" i="2"/>
  <c r="G50" i="2" s="1"/>
  <c r="F26" i="2"/>
  <c r="G26" i="2" s="1"/>
  <c r="F3" i="2"/>
  <c r="G3" i="2" s="1"/>
  <c r="G2" i="2"/>
  <c r="J4" i="2" s="1"/>
  <c r="F53" i="2" l="1"/>
  <c r="G53" i="2"/>
  <c r="J7" i="2"/>
  <c r="J5" i="2"/>
  <c r="J8" i="2" l="1"/>
  <c r="J6" i="2"/>
  <c r="J9" i="2" l="1"/>
  <c r="K6" i="2" s="1"/>
  <c r="K8" i="2" l="1"/>
  <c r="K5" i="2"/>
  <c r="K7" i="2"/>
</calcChain>
</file>

<file path=xl/sharedStrings.xml><?xml version="1.0" encoding="utf-8"?>
<sst xmlns="http://schemas.openxmlformats.org/spreadsheetml/2006/main" count="324" uniqueCount="117">
  <si>
    <t>General Move</t>
  </si>
  <si>
    <t>G</t>
  </si>
  <si>
    <t>A</t>
  </si>
  <si>
    <t>B</t>
  </si>
  <si>
    <t>P</t>
  </si>
  <si>
    <t>Controlled Move</t>
  </si>
  <si>
    <t>C</t>
  </si>
  <si>
    <t>M</t>
  </si>
  <si>
    <t>X</t>
  </si>
  <si>
    <t>I</t>
  </si>
  <si>
    <t>Tool Use</t>
  </si>
  <si>
    <t>T</t>
  </si>
  <si>
    <t>Process Time</t>
  </si>
  <si>
    <t>PT</t>
  </si>
  <si>
    <t>Total Time (sec)</t>
  </si>
  <si>
    <t>S.No</t>
  </si>
  <si>
    <t>Station No</t>
  </si>
  <si>
    <t>Activity No</t>
  </si>
  <si>
    <t>Activity Description</t>
  </si>
  <si>
    <t>Data Card</t>
  </si>
  <si>
    <t>MOST Code</t>
  </si>
  <si>
    <t>FREQ</t>
  </si>
  <si>
    <t>TMU</t>
  </si>
  <si>
    <t>Elemental Description</t>
  </si>
  <si>
    <t>Operator</t>
  </si>
  <si>
    <t>MUDA Ref</t>
  </si>
  <si>
    <t>Online/Offline/ Machine Auto</t>
  </si>
  <si>
    <t>VA</t>
  </si>
  <si>
    <t>SVA</t>
  </si>
  <si>
    <t>NVA</t>
  </si>
  <si>
    <t>Category</t>
  </si>
  <si>
    <t>ONLINE</t>
  </si>
  <si>
    <t>No</t>
  </si>
  <si>
    <t>VA/NVA/SVA</t>
  </si>
  <si>
    <t>Description</t>
  </si>
  <si>
    <t>Ref #</t>
  </si>
  <si>
    <t>Time in Sec</t>
  </si>
  <si>
    <t xml:space="preserve"> Time in Mins </t>
  </si>
  <si>
    <t>Noise</t>
  </si>
  <si>
    <t>VA/SVA/NVA 
CATEGORIZATION</t>
  </si>
  <si>
    <t>Work Content (Mins)</t>
  </si>
  <si>
    <t>NOISE</t>
  </si>
  <si>
    <t>TOTAL</t>
  </si>
  <si>
    <t>WALKING</t>
  </si>
  <si>
    <t>TENTATIVE MOVES - PART</t>
  </si>
  <si>
    <t>QUALITY INSPECTION</t>
  </si>
  <si>
    <t>PICK/POSITION/UNLOAD TOOL OR ANY OTHER MATERIAL EXCEPT PART/FORK LIFT MOVEMENT</t>
  </si>
  <si>
    <t>TENTATIVE MOVES-TOOL</t>
  </si>
  <si>
    <t>PROCESS AIDE-TOOLING (FASTENING - REWORK)</t>
  </si>
  <si>
    <t>MARKING</t>
  </si>
  <si>
    <t>WIPING/CLEANING</t>
  </si>
  <si>
    <t>DATA ENTRY</t>
  </si>
  <si>
    <t>HAMMERING (NOT USE, USE BEND MATERIAL)</t>
  </si>
  <si>
    <t>BEND BELOW KNEE LEVEL,WALK THROUGH DOOR,WALK ON STAIRS</t>
  </si>
  <si>
    <t>REMOVE EXCESS MATERIAL</t>
  </si>
  <si>
    <t>LAY ASIDE</t>
  </si>
  <si>
    <t>MACHINE AUTO (PALLET MOVEMENT TIME)</t>
  </si>
  <si>
    <t>GAUGING/MEASURING</t>
  </si>
  <si>
    <t xml:space="preserve">WAITING </t>
  </si>
  <si>
    <t>UNPACKING</t>
  </si>
  <si>
    <t>PRESS RETURN MOVEMENT</t>
  </si>
  <si>
    <t>HOISTING</t>
  </si>
  <si>
    <t>SEARCHING</t>
  </si>
  <si>
    <t>DEMASKING</t>
  </si>
  <si>
    <t>UNFASTENING/DISASSEMBLING/UNLOADING</t>
  </si>
  <si>
    <t>MANUAL TESTING</t>
  </si>
  <si>
    <t>REFER WI'S/READING DRAWING</t>
  </si>
  <si>
    <t>LOCKING</t>
  </si>
  <si>
    <t>ADJUSTING</t>
  </si>
  <si>
    <t>DISENGAGE</t>
  </si>
  <si>
    <t>AUTO TESTING/OVEN CURING (MANDATORY QUALITY INSPECTION)</t>
  </si>
  <si>
    <t>NVA-N</t>
  </si>
  <si>
    <t>PICKING UP PART FOR ASSEMBLY/MACHINING</t>
  </si>
  <si>
    <t>POSITIONING PART FOR ASSEMBLY/MACHINING</t>
  </si>
  <si>
    <t>SCANNING</t>
  </si>
  <si>
    <t>PROCESS CONFIRMATION / ACTUATING MACHINE CONTROLS</t>
  </si>
  <si>
    <t>PUTTING TOGETHER PARTS FOR ASSEMBLY/MACHINING</t>
  </si>
  <si>
    <t>HOLDING PART FOR ASSEMBLY/MACHINING</t>
  </si>
  <si>
    <t>FITTING</t>
  </si>
  <si>
    <t>GLUING</t>
  </si>
  <si>
    <t>MACHINE AUTO TIME (PROCESS TIME)</t>
  </si>
  <si>
    <t>MASKING</t>
  </si>
  <si>
    <t>DECALS / STICKERS</t>
  </si>
  <si>
    <t>PRE-TREATMENT</t>
  </si>
  <si>
    <t>WELDING</t>
  </si>
  <si>
    <t>PAINTING</t>
  </si>
  <si>
    <t>SCREWING/FASTENING</t>
  </si>
  <si>
    <t>BEND THE MATERIAL</t>
  </si>
  <si>
    <t>CUT THE MATERIAL</t>
  </si>
  <si>
    <t>MAKE A HOLE</t>
  </si>
  <si>
    <t>PRODUCT IDENTIFICATION</t>
  </si>
  <si>
    <t>INSERTING</t>
  </si>
  <si>
    <t>POLISHING MATERIAL</t>
  </si>
  <si>
    <t>GRINDING MATERIAL</t>
  </si>
  <si>
    <t>WITHIN REACH, GRASP THE FIXTURE</t>
  </si>
  <si>
    <t>ASSY WITH PRESS OPERATION</t>
  </si>
  <si>
    <t>PUSH TO ADJUST &lt; 12 INCHES</t>
  </si>
  <si>
    <t xml:space="preserve">WITHIN REACH, GRASP BUTTONS </t>
  </si>
  <si>
    <t>PUSH BUTTON TO ACTUATE THE MACHINE CONTROLS BUTTON</t>
  </si>
  <si>
    <t>WITHIN REACH, GRASP THE WORKPIECE</t>
  </si>
  <si>
    <t>WITHIN REACH, GRASP THE TRAY</t>
  </si>
  <si>
    <t>PULL TRAY &lt; 12 INCHES</t>
  </si>
  <si>
    <t>WITHIN REACH, RE-GRASP THE WORKPIECE, HOLD</t>
  </si>
  <si>
    <t>WITHIN REACH, GRASP TWEEZER</t>
  </si>
  <si>
    <t>PUSH TWEEZER TO GRASP THE BUSH &lt; 12 INCHES</t>
  </si>
  <si>
    <t>WITHIN REACH, PLACE BUSH IN THE WORKPIECE WITH LIGHT PRESSURE</t>
  </si>
  <si>
    <t>WITHIN REACH, LAY ASIDE THE WORKPIECE</t>
  </si>
  <si>
    <t xml:space="preserve">WITHIN REACH, LAY ASIDE THE TWEEZER </t>
  </si>
  <si>
    <t>WITHIN REACH, GRASP GLUING TOOL</t>
  </si>
  <si>
    <t>WITHIN REACH, PLACE THE GLUING TOOL ON THE WORKPIECE WITH ADJUSTMENT</t>
  </si>
  <si>
    <t xml:space="preserve">WITHIN &lt; 50mm (2"), GRASP BUTTON OG THE GLUING TOOL </t>
  </si>
  <si>
    <t>PUSH BOTTON TO APPLY THE GLUE &lt; 12 INCHES</t>
  </si>
  <si>
    <t xml:space="preserve">WITHIN REACH, LAY ASIDE THE GLUING TOOL </t>
  </si>
  <si>
    <t>WITHIN REACH, GRASP GRASP THE PART FROM FIXTURE</t>
  </si>
  <si>
    <t xml:space="preserve">WITHIN REACH, LAY ASIDE THE PART IN THE TREY </t>
  </si>
  <si>
    <t>WITHIN REACH, GRASP TRAY</t>
  </si>
  <si>
    <t>PUSH THE TREY FORWARD &gt; 12 INCHES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</si>
</sst>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Arial"/>
      <family val="2"/>
    </font>
    <font>
      <b/>
      <sz val="11"/>
      <color rgb="FF9C5700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E9F8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5" fillId="5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/>
    </xf>
    <xf numFmtId="0" fontId="6" fillId="2" borderId="1" xfId="2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vertical="center"/>
    </xf>
    <xf numFmtId="0" fontId="7" fillId="11" borderId="1" xfId="0" applyFont="1" applyFill="1" applyBorder="1"/>
    <xf numFmtId="0" fontId="7" fillId="11" borderId="1" xfId="0" applyFont="1" applyFill="1" applyBorder="1" applyAlignment="1">
      <alignment vertical="center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1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3">
    <cellStyle name="Neutral" xfId="2" builtinId="28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dirty="0">
                <a:solidFill>
                  <a:schemeClr val="tx1">
                    <a:lumMod val="95000"/>
                    <a:lumOff val="5000"/>
                  </a:schemeClr>
                </a:solidFill>
              </a:rPr>
              <a:t>Work Content ( in</a:t>
            </a:r>
            <a:r>
              <a:rPr lang="en-US" b="1" baseline="0" dirty="0">
                <a:solidFill>
                  <a:schemeClr val="tx1">
                    <a:lumMod val="95000"/>
                    <a:lumOff val="5000"/>
                  </a:schemeClr>
                </a:solidFill>
              </a:rPr>
              <a:t> Mins )</a:t>
            </a:r>
            <a:endParaRPr lang="en-US" b="1" dirty="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21"/>
          <c:dPt>
            <c:idx val="0"/>
            <c:bubble3D val="0"/>
            <c:spPr>
              <a:solidFill>
                <a:srgbClr val="00B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155-413A-BF95-FF41635425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155-413A-BF95-FF416354256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155-413A-BF95-FF4163542565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F9-4FDA-93A6-E9F260306942}"/>
              </c:ext>
            </c:extLst>
          </c:dPt>
          <c:dLbls>
            <c:dLbl>
              <c:idx val="0"/>
              <c:layout>
                <c:manualLayout>
                  <c:x val="1.771538490509704E-2"/>
                  <c:y val="-4.634390387909424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55-413A-BF95-FF4163542565}"/>
                </c:ext>
              </c:extLst>
            </c:dLbl>
            <c:dLbl>
              <c:idx val="2"/>
              <c:layout>
                <c:manualLayout>
                  <c:x val="2.0667949055946783E-2"/>
                  <c:y val="9.268780775818760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55-413A-BF95-FF4163542565}"/>
                </c:ext>
              </c:extLst>
            </c:dLbl>
            <c:dLbl>
              <c:idx val="3"/>
              <c:layout>
                <c:manualLayout>
                  <c:x val="-3.2478205659344769E-2"/>
                  <c:y val="1.390317116372818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F9-4FDA-93A6-E9F2603069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'VA SVA NVA Summary'!$I$5:$I$8</c:f>
              <c:strCache>
                <c:ptCount val="4"/>
                <c:pt idx="0">
                  <c:v>VA</c:v>
                </c:pt>
                <c:pt idx="1">
                  <c:v>NVA-N</c:v>
                </c:pt>
                <c:pt idx="2">
                  <c:v>SVA</c:v>
                </c:pt>
                <c:pt idx="3">
                  <c:v>NVA</c:v>
                </c:pt>
              </c:strCache>
            </c:strRef>
          </c:cat>
          <c:val>
            <c:numRef>
              <c:f>'VA SVA NVA Summary'!$J$5:$J$8</c:f>
              <c:numCache>
                <c:formatCode>0.00</c:formatCode>
                <c:ptCount val="4"/>
                <c:pt idx="0">
                  <c:v>8.3999999999999991E-2</c:v>
                </c:pt>
                <c:pt idx="1">
                  <c:v>0</c:v>
                </c:pt>
                <c:pt idx="2">
                  <c:v>7.2000000000000008E-2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55-413A-BF95-FF41635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rgbClr val="000000">
          <a:lumMod val="95000"/>
          <a:lumOff val="5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326572</xdr:colOff>
      <xdr:row>1</xdr:row>
      <xdr:rowOff>141514</xdr:rowOff>
    </xdr:from>
    <xdr:to>
      <xdr:col>18</xdr:col>
      <xdr:colOff>360718</xdr:colOff>
      <xdr:row>14</xdr:row>
      <xdr:rowOff>116924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26BAA-630C-4157-868E-2CDB7FCB7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2D3F3-3E0D-4664-AF74-A3ECEC29DB25}">
  <dimension ref="A1:AC31"/>
  <sheetViews>
    <sheetView tabSelected="1" workbookViewId="0">
      <pane ySplit="5" topLeftCell="A6" activePane="bottomLeft" state="frozen"/>
      <selection pane="bottomLeft" activeCell="M14" sqref="M14"/>
    </sheetView>
  </sheetViews>
  <sheetFormatPr defaultRowHeight="14.4" x14ac:dyDescent="0.3"/>
  <cols>
    <col min="1" max="1" width="5" bestFit="1" customWidth="1"/>
    <col min="2" max="2" width="9.88671875" customWidth="1"/>
    <col min="3" max="3" width="10" bestFit="1" customWidth="1"/>
    <col min="4" max="4" width="27.6640625" customWidth="1"/>
    <col min="5" max="5" width="9" style="1" customWidth="1"/>
    <col min="6" max="16" width="3.6640625" style="1" customWidth="1"/>
    <col min="17" max="17" width="28.33203125" customWidth="1"/>
    <col min="18" max="18" width="5.44140625" style="1" bestFit="1" customWidth="1"/>
    <col min="19" max="19" width="7.5546875" style="1" customWidth="1"/>
    <col min="20" max="20" width="52.33203125" bestFit="1" customWidth="1"/>
    <col min="21" max="21" width="8.5546875" style="1" bestFit="1" customWidth="1"/>
    <col min="22" max="22" width="15" style="1" bestFit="1" customWidth="1"/>
    <col min="23" max="23" width="14.6640625" style="1" bestFit="1" customWidth="1"/>
    <col min="24" max="24" width="26.33203125" style="1" bestFit="1" customWidth="1"/>
    <col min="25" max="25" width="6" bestFit="1" customWidth="1"/>
    <col min="26" max="26" width="6" customWidth="1"/>
    <col min="27" max="27" width="6" bestFit="1" customWidth="1"/>
    <col min="28" max="28" width="5" bestFit="1" customWidth="1"/>
    <col min="29" max="29" width="78.21875" bestFit="1" customWidth="1"/>
  </cols>
  <sheetData>
    <row r="1" spans="1:29" x14ac:dyDescent="0.3">
      <c r="D1" t="s">
        <v>0</v>
      </c>
      <c r="E1" s="1" t="s">
        <v>1</v>
      </c>
      <c r="F1" s="1" t="s">
        <v>2</v>
      </c>
      <c r="G1" s="1" t="s">
        <v>3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2</v>
      </c>
      <c r="V1" s="40"/>
    </row>
    <row r="2" spans="1:29" x14ac:dyDescent="0.3">
      <c r="D2" t="s">
        <v>5</v>
      </c>
      <c r="E2" s="1" t="s">
        <v>6</v>
      </c>
      <c r="F2" s="1" t="s">
        <v>2</v>
      </c>
      <c r="G2" s="1" t="s">
        <v>3</v>
      </c>
      <c r="H2" s="1" t="s">
        <v>1</v>
      </c>
      <c r="I2" s="1" t="s">
        <v>7</v>
      </c>
      <c r="J2" s="1" t="s">
        <v>8</v>
      </c>
      <c r="K2" s="1" t="s">
        <v>9</v>
      </c>
      <c r="L2" s="1" t="s">
        <v>2</v>
      </c>
      <c r="V2" s="40"/>
    </row>
    <row r="3" spans="1:29" x14ac:dyDescent="0.3">
      <c r="D3" t="s">
        <v>10</v>
      </c>
      <c r="E3" s="1" t="s">
        <v>11</v>
      </c>
      <c r="F3" s="1" t="s">
        <v>2</v>
      </c>
      <c r="G3" s="1" t="s">
        <v>3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11</v>
      </c>
      <c r="M3" s="1" t="s">
        <v>2</v>
      </c>
      <c r="N3" s="1" t="s">
        <v>3</v>
      </c>
      <c r="O3" s="1" t="s">
        <v>4</v>
      </c>
      <c r="P3" s="1" t="s">
        <v>2</v>
      </c>
      <c r="V3" s="40"/>
      <c r="W3" s="21"/>
    </row>
    <row r="4" spans="1:29" x14ac:dyDescent="0.3">
      <c r="D4" t="s">
        <v>12</v>
      </c>
      <c r="E4" s="1" t="s">
        <v>13</v>
      </c>
      <c r="V4" s="41" t="s">
        <v>14</v>
      </c>
      <c r="W4" s="24">
        <f>SUM(W6:W31)</f>
        <v>21.959999999999994</v>
      </c>
    </row>
    <row r="5" spans="1:29" s="23" customFormat="1" x14ac:dyDescent="0.3">
      <c r="A5" s="22" t="s">
        <v>15</v>
      </c>
      <c r="B5" s="22" t="s">
        <v>16</v>
      </c>
      <c r="C5" s="22" t="s">
        <v>17</v>
      </c>
      <c r="D5" s="22" t="s">
        <v>18</v>
      </c>
      <c r="E5" s="22" t="s">
        <v>19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2" t="s">
        <v>20</v>
      </c>
      <c r="R5" s="25" t="s">
        <v>21</v>
      </c>
      <c r="S5" s="25" t="s">
        <v>22</v>
      </c>
      <c r="T5" s="22" t="s">
        <v>23</v>
      </c>
      <c r="U5" s="22" t="s">
        <v>24</v>
      </c>
      <c r="V5" s="42" t="s">
        <v>25</v>
      </c>
      <c r="W5" s="25" t="s">
        <v>14</v>
      </c>
      <c r="X5" s="22" t="s">
        <v>26</v>
      </c>
      <c r="Y5" s="22" t="s">
        <v>27</v>
      </c>
      <c r="Z5" s="22" t="s">
        <v>71</v>
      </c>
      <c r="AA5" s="22" t="s">
        <v>28</v>
      </c>
      <c r="AB5" s="22" t="s">
        <v>29</v>
      </c>
      <c r="AC5" s="22" t="s">
        <v>30</v>
      </c>
    </row>
    <row r="6" spans="1:29" x14ac:dyDescent="0.3">
      <c r="A6" s="2">
        <v>1</v>
      </c>
      <c r="B6" s="2"/>
      <c r="C6" s="2"/>
      <c r="D6" s="2" t="s">
        <v>95</v>
      </c>
      <c r="E6" s="3" t="s">
        <v>1</v>
      </c>
      <c r="F6" s="3">
        <v>1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/>
      <c r="N6" s="3"/>
      <c r="O6" s="3"/>
      <c r="P6" s="3"/>
      <c r="Q6" s="2" t="str">
        <f t="shared" ref="Q6:Q31" si="0">IF(E6=$E$1,($F$1&amp;F6&amp;$G$1&amp;G6&amp;$H$1&amp;H6&amp;$I$1&amp;I6&amp;$J$1&amp;J6&amp;$K$1&amp;K6&amp;$L$1&amp;L6),IF(E6=$E$2,($F$2&amp;F6&amp;$G$2&amp;G6&amp;$H$2&amp;H6&amp;$I$2&amp;I6&amp;$J$2&amp;J6&amp;$K$2&amp;K6&amp;$L$2&amp;L6),IF(E6=$E$3,($F$3&amp;F6&amp;$G$3&amp;G6&amp;$H$3&amp;H6&amp;$I$3&amp;I6&amp;$J$3&amp;J6&amp;$K$3&amp;K6&amp;$L$3&amp;L6&amp;$M$3&amp;M6&amp;$N$3&amp;N6&amp;$O$3&amp;O6&amp;$P$3&amp;P6),IF(E6=$E$4,F6&amp;"SEC"))))</f>
        <v>A1B0G1A0B0P0A0</v>
      </c>
      <c r="R6" s="3">
        <v>1</v>
      </c>
      <c r="S6" s="3">
        <f t="shared" ref="S6:S17" si="1">IF(E6=$E$4,R6*F6/0.036,(SUM(F6:P6)*10*R6))</f>
        <v>20</v>
      </c>
      <c r="T6" s="2" t="s">
        <v>94</v>
      </c>
      <c r="U6" s="3">
        <v>1</v>
      </c>
      <c r="V6" s="43">
        <v>5</v>
      </c>
      <c r="W6" s="3">
        <f t="shared" ref="W6:W13" si="2">S6*0.036</f>
        <v>0.72</v>
      </c>
      <c r="X6" s="3" t="s">
        <v>31</v>
      </c>
      <c r="Y6" s="2">
        <f t="shared" ref="Y6:Y14" si="3">IF(V6&gt;33,W6,0)</f>
        <v>0</v>
      </c>
      <c r="Z6" s="2">
        <f t="shared" ref="Z6:Z14" si="4">IF(V6&lt;28,IF(V6&gt;23,W6,0),0)</f>
        <v>0</v>
      </c>
      <c r="AA6" s="2">
        <f t="shared" ref="AA6:AA14" si="5">IF(V6&lt;34,IF(V6&gt;27,W6,0),0)</f>
        <v>0</v>
      </c>
      <c r="AB6" s="2">
        <f t="shared" ref="AB6:AB14" si="6">IF(V6&lt;23,W6,0)</f>
        <v>0.72</v>
      </c>
      <c r="AC6" s="2" t="str">
        <f>VLOOKUP(V6,'VA SVA NVA Summary'!A:E,3,0)</f>
        <v>TENTATIVE MOVES-TOOL</v>
      </c>
    </row>
    <row r="7" spans="1:29" x14ac:dyDescent="0.3">
      <c r="A7" s="2">
        <v>2</v>
      </c>
      <c r="B7" s="2"/>
      <c r="C7" s="2"/>
      <c r="D7" s="2" t="s">
        <v>95</v>
      </c>
      <c r="E7" s="3" t="s">
        <v>6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2" t="str">
        <f t="shared" si="0"/>
        <v>A0B0G0M1X0I0A0</v>
      </c>
      <c r="R7" s="3">
        <v>1</v>
      </c>
      <c r="S7" s="3">
        <f t="shared" si="1"/>
        <v>10</v>
      </c>
      <c r="T7" s="2" t="s">
        <v>96</v>
      </c>
      <c r="U7" s="3">
        <v>1</v>
      </c>
      <c r="V7" s="43">
        <v>4</v>
      </c>
      <c r="W7" s="3">
        <f t="shared" si="2"/>
        <v>0.36</v>
      </c>
      <c r="X7" s="3" t="s">
        <v>31</v>
      </c>
      <c r="Y7" s="2">
        <f t="shared" si="3"/>
        <v>0</v>
      </c>
      <c r="Z7" s="2">
        <f t="shared" si="4"/>
        <v>0</v>
      </c>
      <c r="AA7" s="2">
        <f t="shared" si="5"/>
        <v>0</v>
      </c>
      <c r="AB7" s="2">
        <f t="shared" si="6"/>
        <v>0.36</v>
      </c>
      <c r="AC7" s="2" t="str">
        <f>VLOOKUP(V7,'VA SVA NVA Summary'!A:E,3,0)</f>
        <v>PICK/POSITION/UNLOAD TOOL OR ANY OTHER MATERIAL EXCEPT PART/FORK LIFT MOVEMENT</v>
      </c>
    </row>
    <row r="8" spans="1:29" x14ac:dyDescent="0.3">
      <c r="A8" s="2">
        <v>3</v>
      </c>
      <c r="B8" s="2"/>
      <c r="C8" s="2"/>
      <c r="D8" s="2" t="s">
        <v>95</v>
      </c>
      <c r="E8" s="3" t="s">
        <v>1</v>
      </c>
      <c r="F8" s="3">
        <v>1</v>
      </c>
      <c r="G8" s="3">
        <v>0</v>
      </c>
      <c r="H8" s="3">
        <v>1</v>
      </c>
      <c r="I8" s="3">
        <v>0</v>
      </c>
      <c r="J8" s="3">
        <v>1</v>
      </c>
      <c r="K8" s="3">
        <v>0</v>
      </c>
      <c r="L8" s="3">
        <v>0</v>
      </c>
      <c r="M8" s="3"/>
      <c r="N8" s="3"/>
      <c r="O8" s="3"/>
      <c r="P8" s="3"/>
      <c r="Q8" s="2" t="str">
        <f t="shared" si="0"/>
        <v>A1B0G1A0B1P0A0</v>
      </c>
      <c r="R8" s="3">
        <v>1</v>
      </c>
      <c r="S8" s="3">
        <f t="shared" si="1"/>
        <v>30</v>
      </c>
      <c r="T8" s="2" t="s">
        <v>97</v>
      </c>
      <c r="U8" s="3">
        <v>1</v>
      </c>
      <c r="V8" s="43">
        <v>31</v>
      </c>
      <c r="W8" s="3">
        <f t="shared" si="2"/>
        <v>1.0799999999999998</v>
      </c>
      <c r="X8" s="3" t="s">
        <v>31</v>
      </c>
      <c r="Y8" s="2">
        <f t="shared" si="3"/>
        <v>0</v>
      </c>
      <c r="Z8" s="2">
        <f t="shared" si="4"/>
        <v>0</v>
      </c>
      <c r="AA8" s="2">
        <f t="shared" si="5"/>
        <v>1.0799999999999998</v>
      </c>
      <c r="AB8" s="2">
        <f t="shared" si="6"/>
        <v>0</v>
      </c>
      <c r="AC8" s="2" t="str">
        <f>VLOOKUP(V8,'VA SVA NVA Summary'!A:E,3,0)</f>
        <v>PROCESS CONFIRMATION / ACTUATING MACHINE CONTROLS</v>
      </c>
    </row>
    <row r="9" spans="1:29" x14ac:dyDescent="0.3">
      <c r="A9" s="2">
        <v>4</v>
      </c>
      <c r="B9" s="2"/>
      <c r="C9" s="2"/>
      <c r="D9" s="2" t="s">
        <v>95</v>
      </c>
      <c r="E9" s="3" t="s">
        <v>6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/>
      <c r="N9" s="3"/>
      <c r="O9" s="3"/>
      <c r="P9" s="3"/>
      <c r="Q9" s="2" t="str">
        <f t="shared" si="0"/>
        <v>A0B0G0M1X0I0A0</v>
      </c>
      <c r="R9" s="3">
        <v>1</v>
      </c>
      <c r="S9" s="3">
        <f t="shared" si="1"/>
        <v>10</v>
      </c>
      <c r="T9" s="2" t="s">
        <v>98</v>
      </c>
      <c r="U9" s="3">
        <v>1</v>
      </c>
      <c r="V9" s="43">
        <v>31</v>
      </c>
      <c r="W9" s="3">
        <f t="shared" si="2"/>
        <v>0.36</v>
      </c>
      <c r="X9" s="3" t="s">
        <v>31</v>
      </c>
      <c r="Y9" s="2">
        <f t="shared" si="3"/>
        <v>0</v>
      </c>
      <c r="Z9" s="2">
        <f t="shared" si="4"/>
        <v>0</v>
      </c>
      <c r="AA9" s="2">
        <f t="shared" si="5"/>
        <v>0.36</v>
      </c>
      <c r="AB9" s="2">
        <f t="shared" si="6"/>
        <v>0</v>
      </c>
      <c r="AC9" s="2" t="str">
        <f>VLOOKUP(V9,'VA SVA NVA Summary'!A:E,3,0)</f>
        <v>PROCESS CONFIRMATION / ACTUATING MACHINE CONTROLS</v>
      </c>
    </row>
    <row r="10" spans="1:29" x14ac:dyDescent="0.3">
      <c r="A10" s="2">
        <v>5</v>
      </c>
      <c r="B10" s="2"/>
      <c r="C10" s="2"/>
      <c r="D10" s="2" t="s">
        <v>95</v>
      </c>
      <c r="E10" s="3" t="s">
        <v>1</v>
      </c>
      <c r="F10" s="3">
        <v>1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  <c r="L10" s="3">
        <v>0</v>
      </c>
      <c r="M10" s="3"/>
      <c r="N10" s="3"/>
      <c r="O10" s="3"/>
      <c r="P10" s="3"/>
      <c r="Q10" s="2" t="str">
        <f t="shared" si="0"/>
        <v>A1B0G1A0B0P0A0</v>
      </c>
      <c r="R10" s="3">
        <v>1</v>
      </c>
      <c r="S10" s="3">
        <f t="shared" si="1"/>
        <v>20</v>
      </c>
      <c r="T10" s="2" t="s">
        <v>99</v>
      </c>
      <c r="U10" s="3">
        <v>1</v>
      </c>
      <c r="V10" s="43">
        <v>2</v>
      </c>
      <c r="W10" s="3">
        <f t="shared" si="2"/>
        <v>0.72</v>
      </c>
      <c r="X10" s="3" t="s">
        <v>31</v>
      </c>
      <c r="Y10" s="2">
        <f t="shared" si="3"/>
        <v>0</v>
      </c>
      <c r="Z10" s="2">
        <f t="shared" si="4"/>
        <v>0</v>
      </c>
      <c r="AA10" s="2">
        <f t="shared" si="5"/>
        <v>0</v>
      </c>
      <c r="AB10" s="2">
        <f t="shared" si="6"/>
        <v>0.72</v>
      </c>
      <c r="AC10" s="2" t="str">
        <f>VLOOKUP(V10,'VA SVA NVA Summary'!A:E,3,0)</f>
        <v>TENTATIVE MOVES - PART</v>
      </c>
    </row>
    <row r="11" spans="1:29" x14ac:dyDescent="0.3">
      <c r="A11" s="2">
        <v>6</v>
      </c>
      <c r="B11" s="2"/>
      <c r="C11" s="2"/>
      <c r="D11" s="2" t="s">
        <v>95</v>
      </c>
      <c r="E11" s="3" t="s">
        <v>1</v>
      </c>
      <c r="F11" s="3">
        <v>1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2" t="str">
        <f t="shared" si="0"/>
        <v>A1B0G1A0B0P0A0</v>
      </c>
      <c r="R11" s="3">
        <v>1</v>
      </c>
      <c r="S11" s="3">
        <f t="shared" si="1"/>
        <v>20</v>
      </c>
      <c r="T11" s="2" t="s">
        <v>100</v>
      </c>
      <c r="U11" s="3">
        <v>1</v>
      </c>
      <c r="V11" s="43">
        <v>5</v>
      </c>
      <c r="W11" s="3">
        <f t="shared" si="2"/>
        <v>0.72</v>
      </c>
      <c r="X11" s="3" t="s">
        <v>31</v>
      </c>
      <c r="Y11" s="2">
        <f t="shared" si="3"/>
        <v>0</v>
      </c>
      <c r="Z11" s="2">
        <f t="shared" si="4"/>
        <v>0</v>
      </c>
      <c r="AA11" s="2">
        <f t="shared" si="5"/>
        <v>0</v>
      </c>
      <c r="AB11" s="2">
        <f t="shared" si="6"/>
        <v>0.72</v>
      </c>
      <c r="AC11" s="2" t="str">
        <f>VLOOKUP(V11,'VA SVA NVA Summary'!A:E,3,0)</f>
        <v>TENTATIVE MOVES-TOOL</v>
      </c>
    </row>
    <row r="12" spans="1:29" x14ac:dyDescent="0.3">
      <c r="A12" s="2">
        <v>7</v>
      </c>
      <c r="B12" s="2"/>
      <c r="C12" s="2"/>
      <c r="D12" s="2" t="s">
        <v>95</v>
      </c>
      <c r="E12" s="3" t="s">
        <v>6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2" t="str">
        <f t="shared" si="0"/>
        <v>A0B0G0M1X0I0A0</v>
      </c>
      <c r="R12" s="3">
        <v>1</v>
      </c>
      <c r="S12" s="3">
        <f t="shared" si="1"/>
        <v>10</v>
      </c>
      <c r="T12" s="2" t="s">
        <v>101</v>
      </c>
      <c r="U12" s="3">
        <v>1</v>
      </c>
      <c r="V12" s="43">
        <v>5</v>
      </c>
      <c r="W12" s="3">
        <f t="shared" si="2"/>
        <v>0.36</v>
      </c>
      <c r="X12" s="3" t="s">
        <v>31</v>
      </c>
      <c r="Y12" s="2">
        <f t="shared" si="3"/>
        <v>0</v>
      </c>
      <c r="Z12" s="2">
        <f t="shared" si="4"/>
        <v>0</v>
      </c>
      <c r="AA12" s="2">
        <f t="shared" si="5"/>
        <v>0</v>
      </c>
      <c r="AB12" s="2">
        <f t="shared" si="6"/>
        <v>0.36</v>
      </c>
      <c r="AC12" s="2" t="str">
        <f>VLOOKUP(V12,'VA SVA NVA Summary'!A:E,3,0)</f>
        <v>TENTATIVE MOVES-TOOL</v>
      </c>
    </row>
    <row r="13" spans="1:29" x14ac:dyDescent="0.3">
      <c r="A13" s="2">
        <v>8</v>
      </c>
      <c r="B13" s="2"/>
      <c r="C13" s="2"/>
      <c r="D13" s="2" t="s">
        <v>95</v>
      </c>
      <c r="E13" s="3" t="s">
        <v>1</v>
      </c>
      <c r="F13" s="3">
        <v>1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/>
      <c r="N13" s="3"/>
      <c r="O13" s="3"/>
      <c r="P13" s="3"/>
      <c r="Q13" s="2" t="str">
        <f t="shared" si="0"/>
        <v>A1B0G1A0B0P0A0</v>
      </c>
      <c r="R13" s="3">
        <v>1</v>
      </c>
      <c r="S13" s="3">
        <f t="shared" si="1"/>
        <v>20</v>
      </c>
      <c r="T13" s="2" t="s">
        <v>102</v>
      </c>
      <c r="U13" s="3">
        <v>1</v>
      </c>
      <c r="V13" s="43">
        <v>2</v>
      </c>
      <c r="W13" s="3">
        <f t="shared" si="2"/>
        <v>0.72</v>
      </c>
      <c r="X13" s="3" t="s">
        <v>31</v>
      </c>
      <c r="Y13" s="2">
        <f t="shared" si="3"/>
        <v>0</v>
      </c>
      <c r="Z13" s="2">
        <f t="shared" si="4"/>
        <v>0</v>
      </c>
      <c r="AA13" s="2">
        <f t="shared" si="5"/>
        <v>0</v>
      </c>
      <c r="AB13" s="2">
        <f t="shared" si="6"/>
        <v>0.72</v>
      </c>
      <c r="AC13" s="2" t="str">
        <f>VLOOKUP(V13,'VA SVA NVA Summary'!A:E,3,0)</f>
        <v>TENTATIVE MOVES - PART</v>
      </c>
    </row>
    <row r="14" spans="1:29" x14ac:dyDescent="0.3">
      <c r="A14" s="2">
        <v>9</v>
      </c>
      <c r="B14" s="2"/>
      <c r="C14" s="2"/>
      <c r="D14" s="2" t="s">
        <v>95</v>
      </c>
      <c r="E14" s="3" t="s">
        <v>1</v>
      </c>
      <c r="F14" s="3">
        <v>1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  <c r="L14" s="3">
        <v>0</v>
      </c>
      <c r="M14" s="3"/>
      <c r="N14" s="3"/>
      <c r="O14" s="3"/>
      <c r="P14" s="3"/>
      <c r="Q14" s="2" t="str">
        <f t="shared" si="0"/>
        <v>A1B0G1A0B0P0A0</v>
      </c>
      <c r="R14" s="3">
        <v>1</v>
      </c>
      <c r="S14" s="3">
        <f t="shared" si="1"/>
        <v>20</v>
      </c>
      <c r="T14" s="2" t="s">
        <v>103</v>
      </c>
      <c r="U14" s="3">
        <v>1</v>
      </c>
      <c r="V14" s="43">
        <v>5</v>
      </c>
      <c r="W14" s="3">
        <f t="shared" ref="W14:W31" si="7">S14*0.036</f>
        <v>0.72</v>
      </c>
      <c r="X14" s="3" t="s">
        <v>31</v>
      </c>
      <c r="Y14" s="2">
        <f t="shared" si="3"/>
        <v>0</v>
      </c>
      <c r="Z14" s="2">
        <f t="shared" si="4"/>
        <v>0</v>
      </c>
      <c r="AA14" s="2">
        <f t="shared" si="5"/>
        <v>0</v>
      </c>
      <c r="AB14" s="2">
        <f t="shared" si="6"/>
        <v>0.72</v>
      </c>
      <c r="AC14" s="2" t="str">
        <f>VLOOKUP(V14,'VA SVA NVA Summary'!A:E,3,0)</f>
        <v>TENTATIVE MOVES-TOOL</v>
      </c>
    </row>
    <row r="15" spans="1:29" x14ac:dyDescent="0.3">
      <c r="A15" s="2">
        <v>10</v>
      </c>
      <c r="B15" s="2"/>
      <c r="C15" s="2"/>
      <c r="D15" s="2" t="s">
        <v>95</v>
      </c>
      <c r="E15" s="3" t="s">
        <v>6</v>
      </c>
      <c r="F15" s="3">
        <v>0</v>
      </c>
      <c r="G15" s="3">
        <v>0</v>
      </c>
      <c r="H15" s="3">
        <v>0</v>
      </c>
      <c r="I15" s="3">
        <v>1</v>
      </c>
      <c r="J15" s="3">
        <v>0</v>
      </c>
      <c r="K15" s="3">
        <v>0</v>
      </c>
      <c r="L15" s="3">
        <v>0</v>
      </c>
      <c r="M15" s="3"/>
      <c r="N15" s="3"/>
      <c r="O15" s="3"/>
      <c r="P15" s="3"/>
      <c r="Q15" s="2" t="str">
        <f t="shared" si="0"/>
        <v>A0B0G0M1X0I0A0</v>
      </c>
      <c r="R15" s="3">
        <v>2</v>
      </c>
      <c r="S15" s="3">
        <f t="shared" si="1"/>
        <v>20</v>
      </c>
      <c r="T15" s="2" t="s">
        <v>104</v>
      </c>
      <c r="U15" s="3">
        <v>1</v>
      </c>
      <c r="V15" s="43">
        <v>4</v>
      </c>
      <c r="W15" s="3">
        <f t="shared" si="7"/>
        <v>0.72</v>
      </c>
      <c r="X15" s="3" t="s">
        <v>31</v>
      </c>
      <c r="Y15" s="2">
        <f t="shared" ref="Y15:Y31" si="8">IF(V15&gt;33,W15,0)</f>
        <v>0</v>
      </c>
      <c r="Z15" s="2">
        <f t="shared" ref="Z15:Z31" si="9">IF(V15&lt;28,IF(V15&gt;23,W15,0),0)</f>
        <v>0</v>
      </c>
      <c r="AA15" s="2">
        <f t="shared" ref="AA15:AA31" si="10">IF(V15&lt;34,IF(V15&gt;27,W15,0),0)</f>
        <v>0</v>
      </c>
      <c r="AB15" s="2">
        <f t="shared" ref="AB15:AB31" si="11">IF(V15&lt;23,W15,0)</f>
        <v>0.72</v>
      </c>
      <c r="AC15" s="2" t="str">
        <f>VLOOKUP(V15,'VA SVA NVA Summary'!A:E,3,0)</f>
        <v>PICK/POSITION/UNLOAD TOOL OR ANY OTHER MATERIAL EXCEPT PART/FORK LIFT MOVEMENT</v>
      </c>
    </row>
    <row r="16" spans="1:29" x14ac:dyDescent="0.3">
      <c r="A16" s="2">
        <v>11</v>
      </c>
      <c r="B16" s="2"/>
      <c r="C16" s="2"/>
      <c r="D16" s="2" t="s">
        <v>95</v>
      </c>
      <c r="E16" s="3" t="s">
        <v>1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3</v>
      </c>
      <c r="L16" s="3">
        <v>0</v>
      </c>
      <c r="M16" s="3"/>
      <c r="N16" s="3"/>
      <c r="O16" s="3"/>
      <c r="P16" s="3"/>
      <c r="Q16" s="2" t="str">
        <f t="shared" si="0"/>
        <v>A0B0G0A1B0P3A0</v>
      </c>
      <c r="R16" s="3">
        <v>2</v>
      </c>
      <c r="S16" s="3">
        <f t="shared" si="1"/>
        <v>80</v>
      </c>
      <c r="T16" s="2" t="s">
        <v>105</v>
      </c>
      <c r="U16" s="3">
        <v>1</v>
      </c>
      <c r="V16" s="43">
        <v>32</v>
      </c>
      <c r="W16" s="3">
        <f t="shared" si="7"/>
        <v>2.88</v>
      </c>
      <c r="X16" s="3" t="s">
        <v>31</v>
      </c>
      <c r="Y16" s="2">
        <f t="shared" si="8"/>
        <v>0</v>
      </c>
      <c r="Z16" s="2">
        <f t="shared" si="9"/>
        <v>0</v>
      </c>
      <c r="AA16" s="2">
        <f t="shared" si="10"/>
        <v>2.88</v>
      </c>
      <c r="AB16" s="2">
        <f t="shared" si="11"/>
        <v>0</v>
      </c>
      <c r="AC16" s="2" t="str">
        <f>VLOOKUP(V16,'VA SVA NVA Summary'!A:E,3,0)</f>
        <v>PUTTING TOGETHER PARTS FOR ASSEMBLY/MACHINING</v>
      </c>
    </row>
    <row r="17" spans="1:29" x14ac:dyDescent="0.3">
      <c r="A17" s="2">
        <v>12</v>
      </c>
      <c r="B17" s="2"/>
      <c r="C17" s="2"/>
      <c r="D17" s="2" t="s">
        <v>95</v>
      </c>
      <c r="E17" s="3" t="s">
        <v>1</v>
      </c>
      <c r="F17" s="3">
        <v>0</v>
      </c>
      <c r="G17" s="3">
        <v>0</v>
      </c>
      <c r="H17" s="3">
        <v>0</v>
      </c>
      <c r="I17" s="3">
        <v>1</v>
      </c>
      <c r="J17" s="3">
        <v>0</v>
      </c>
      <c r="K17" s="3">
        <v>1</v>
      </c>
      <c r="L17" s="3">
        <v>0</v>
      </c>
      <c r="M17" s="3"/>
      <c r="N17" s="3"/>
      <c r="O17" s="3"/>
      <c r="P17" s="3"/>
      <c r="Q17" s="2" t="str">
        <f t="shared" si="0"/>
        <v>A0B0G0A1B0P1A0</v>
      </c>
      <c r="R17" s="3">
        <v>1</v>
      </c>
      <c r="S17" s="3">
        <f t="shared" si="1"/>
        <v>20</v>
      </c>
      <c r="T17" s="2" t="s">
        <v>106</v>
      </c>
      <c r="U17" s="3">
        <v>1</v>
      </c>
      <c r="V17" s="43">
        <v>2</v>
      </c>
      <c r="W17" s="3">
        <f t="shared" si="7"/>
        <v>0.72</v>
      </c>
      <c r="X17" s="3" t="s">
        <v>31</v>
      </c>
      <c r="Y17" s="2">
        <f t="shared" si="8"/>
        <v>0</v>
      </c>
      <c r="Z17" s="2">
        <f t="shared" si="9"/>
        <v>0</v>
      </c>
      <c r="AA17" s="2">
        <f t="shared" si="10"/>
        <v>0</v>
      </c>
      <c r="AB17" s="2">
        <f t="shared" si="11"/>
        <v>0.72</v>
      </c>
      <c r="AC17" s="2" t="str">
        <f>VLOOKUP(V17,'VA SVA NVA Summary'!A:E,3,0)</f>
        <v>TENTATIVE MOVES - PART</v>
      </c>
    </row>
    <row r="18" spans="1:29" x14ac:dyDescent="0.3">
      <c r="A18" s="2">
        <v>13</v>
      </c>
      <c r="B18" s="2"/>
      <c r="C18" s="2"/>
      <c r="D18" s="2" t="s">
        <v>95</v>
      </c>
      <c r="E18" s="3" t="s">
        <v>1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1</v>
      </c>
      <c r="L18" s="3">
        <v>0</v>
      </c>
      <c r="M18" s="3"/>
      <c r="N18" s="3"/>
      <c r="O18" s="3"/>
      <c r="P18" s="3"/>
      <c r="Q18" s="2" t="str">
        <f t="shared" si="0"/>
        <v>A0B0G0A1B0P1A0</v>
      </c>
      <c r="R18" s="3">
        <v>1</v>
      </c>
      <c r="S18" s="3">
        <f t="shared" ref="S18:S31" si="12">IF(E18=$E$4,R18*F18/0.036,(SUM(F18:P18)*10*R18))</f>
        <v>20</v>
      </c>
      <c r="T18" s="2" t="s">
        <v>107</v>
      </c>
      <c r="U18" s="3">
        <v>1</v>
      </c>
      <c r="V18" s="43">
        <v>2</v>
      </c>
      <c r="W18" s="3">
        <f t="shared" si="7"/>
        <v>0.72</v>
      </c>
      <c r="X18" s="3" t="s">
        <v>31</v>
      </c>
      <c r="Y18" s="2">
        <f t="shared" si="8"/>
        <v>0</v>
      </c>
      <c r="Z18" s="2">
        <f t="shared" si="9"/>
        <v>0</v>
      </c>
      <c r="AA18" s="2">
        <f t="shared" si="10"/>
        <v>0</v>
      </c>
      <c r="AB18" s="2">
        <f t="shared" si="11"/>
        <v>0.72</v>
      </c>
      <c r="AC18" s="2" t="str">
        <f>VLOOKUP(V18,'VA SVA NVA Summary'!A:E,3,0)</f>
        <v>TENTATIVE MOVES - PART</v>
      </c>
    </row>
    <row r="19" spans="1:29" x14ac:dyDescent="0.3">
      <c r="A19" s="2">
        <v>14</v>
      </c>
      <c r="B19" s="2"/>
      <c r="C19" s="2"/>
      <c r="D19" s="2" t="s">
        <v>95</v>
      </c>
      <c r="E19" s="3" t="s">
        <v>1</v>
      </c>
      <c r="F19" s="3">
        <v>1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2" t="str">
        <f t="shared" si="0"/>
        <v>A1B0G1A0B0P0A0</v>
      </c>
      <c r="R19" s="3">
        <v>1</v>
      </c>
      <c r="S19" s="3">
        <f t="shared" si="12"/>
        <v>20</v>
      </c>
      <c r="T19" s="2" t="s">
        <v>108</v>
      </c>
      <c r="U19" s="3">
        <v>1</v>
      </c>
      <c r="V19" s="43">
        <v>5</v>
      </c>
      <c r="W19" s="3">
        <f t="shared" si="7"/>
        <v>0.72</v>
      </c>
      <c r="X19" s="3" t="s">
        <v>31</v>
      </c>
      <c r="Y19" s="2">
        <f t="shared" si="8"/>
        <v>0</v>
      </c>
      <c r="Z19" s="2">
        <f t="shared" si="9"/>
        <v>0</v>
      </c>
      <c r="AA19" s="2">
        <f t="shared" si="10"/>
        <v>0</v>
      </c>
      <c r="AB19" s="2">
        <f t="shared" si="11"/>
        <v>0.72</v>
      </c>
      <c r="AC19" s="2" t="str">
        <f>VLOOKUP(V19,'VA SVA NVA Summary'!A:E,3,0)</f>
        <v>TENTATIVE MOVES-TOOL</v>
      </c>
    </row>
    <row r="20" spans="1:29" x14ac:dyDescent="0.3">
      <c r="A20" s="2">
        <v>15</v>
      </c>
      <c r="B20" s="2"/>
      <c r="C20" s="2"/>
      <c r="D20" s="2" t="s">
        <v>95</v>
      </c>
      <c r="E20" s="3" t="s">
        <v>1</v>
      </c>
      <c r="F20" s="3">
        <v>0</v>
      </c>
      <c r="G20" s="3">
        <v>0</v>
      </c>
      <c r="H20" s="3">
        <v>0</v>
      </c>
      <c r="I20" s="3">
        <v>1</v>
      </c>
      <c r="J20" s="3">
        <v>0</v>
      </c>
      <c r="K20" s="3">
        <v>3</v>
      </c>
      <c r="L20" s="3">
        <v>0</v>
      </c>
      <c r="M20" s="3"/>
      <c r="N20" s="3"/>
      <c r="O20" s="3"/>
      <c r="P20" s="3"/>
      <c r="Q20" s="2" t="str">
        <f t="shared" si="0"/>
        <v>A0B0G0A1B0P3A0</v>
      </c>
      <c r="R20" s="3">
        <v>1</v>
      </c>
      <c r="S20" s="3">
        <f t="shared" si="12"/>
        <v>40</v>
      </c>
      <c r="T20" s="2" t="s">
        <v>109</v>
      </c>
      <c r="U20" s="3">
        <v>1</v>
      </c>
      <c r="V20" s="43">
        <v>35</v>
      </c>
      <c r="W20" s="3">
        <f t="shared" si="7"/>
        <v>1.44</v>
      </c>
      <c r="X20" s="3" t="s">
        <v>31</v>
      </c>
      <c r="Y20" s="2">
        <f t="shared" si="8"/>
        <v>1.44</v>
      </c>
      <c r="Z20" s="2">
        <f t="shared" si="9"/>
        <v>0</v>
      </c>
      <c r="AA20" s="2">
        <f t="shared" si="10"/>
        <v>0</v>
      </c>
      <c r="AB20" s="2">
        <f t="shared" si="11"/>
        <v>0</v>
      </c>
      <c r="AC20" s="2" t="str">
        <f>VLOOKUP(V20,'VA SVA NVA Summary'!A:E,3,0)</f>
        <v>GLUING</v>
      </c>
    </row>
    <row r="21" spans="1:29" x14ac:dyDescent="0.3">
      <c r="A21" s="2">
        <v>16</v>
      </c>
      <c r="B21" s="2"/>
      <c r="C21" s="2"/>
      <c r="D21" s="2" t="s">
        <v>95</v>
      </c>
      <c r="E21" s="3" t="s">
        <v>1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2" t="str">
        <f t="shared" si="0"/>
        <v>A0B0G1A0B0P0A0</v>
      </c>
      <c r="R21" s="3">
        <v>1</v>
      </c>
      <c r="S21" s="3">
        <f t="shared" si="12"/>
        <v>10</v>
      </c>
      <c r="T21" s="2" t="s">
        <v>110</v>
      </c>
      <c r="U21" s="3">
        <v>1</v>
      </c>
      <c r="V21" s="43">
        <v>5</v>
      </c>
      <c r="W21" s="3">
        <f t="shared" si="7"/>
        <v>0.36</v>
      </c>
      <c r="X21" s="3" t="s">
        <v>31</v>
      </c>
      <c r="Y21" s="2">
        <f t="shared" si="8"/>
        <v>0</v>
      </c>
      <c r="Z21" s="2">
        <f t="shared" si="9"/>
        <v>0</v>
      </c>
      <c r="AA21" s="2">
        <f t="shared" si="10"/>
        <v>0</v>
      </c>
      <c r="AB21" s="2">
        <f t="shared" si="11"/>
        <v>0.36</v>
      </c>
      <c r="AC21" s="2" t="str">
        <f>VLOOKUP(V21,'VA SVA NVA Summary'!A:E,3,0)</f>
        <v>TENTATIVE MOVES-TOOL</v>
      </c>
    </row>
    <row r="22" spans="1:29" x14ac:dyDescent="0.3">
      <c r="A22" s="2">
        <v>17</v>
      </c>
      <c r="B22" s="2"/>
      <c r="C22" s="2"/>
      <c r="D22" s="2" t="s">
        <v>95</v>
      </c>
      <c r="E22" s="3" t="s">
        <v>6</v>
      </c>
      <c r="F22" s="3">
        <v>0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/>
      <c r="N22" s="3"/>
      <c r="O22" s="3"/>
      <c r="P22" s="3"/>
      <c r="Q22" s="2" t="str">
        <f t="shared" si="0"/>
        <v>A0B0G0M1X0I0A0</v>
      </c>
      <c r="R22" s="3">
        <v>3</v>
      </c>
      <c r="S22" s="3">
        <f t="shared" si="12"/>
        <v>30</v>
      </c>
      <c r="T22" s="2" t="s">
        <v>111</v>
      </c>
      <c r="U22" s="3">
        <v>1</v>
      </c>
      <c r="V22" s="43">
        <v>35</v>
      </c>
      <c r="W22" s="3">
        <f t="shared" si="7"/>
        <v>1.0799999999999998</v>
      </c>
      <c r="X22" s="3" t="s">
        <v>31</v>
      </c>
      <c r="Y22" s="2">
        <f t="shared" si="8"/>
        <v>1.0799999999999998</v>
      </c>
      <c r="Z22" s="2">
        <f t="shared" si="9"/>
        <v>0</v>
      </c>
      <c r="AA22" s="2">
        <f t="shared" si="10"/>
        <v>0</v>
      </c>
      <c r="AB22" s="2">
        <f t="shared" si="11"/>
        <v>0</v>
      </c>
      <c r="AC22" s="2" t="str">
        <f>VLOOKUP(V22,'VA SVA NVA Summary'!A:E,3,0)</f>
        <v>GLUING</v>
      </c>
    </row>
    <row r="23" spans="1:29" x14ac:dyDescent="0.3">
      <c r="A23" s="2">
        <v>18</v>
      </c>
      <c r="B23" s="2"/>
      <c r="C23" s="2"/>
      <c r="D23" s="2" t="s">
        <v>95</v>
      </c>
      <c r="E23" s="3" t="s">
        <v>1</v>
      </c>
      <c r="F23" s="3">
        <v>0</v>
      </c>
      <c r="G23" s="3">
        <v>0</v>
      </c>
      <c r="H23" s="3">
        <v>0</v>
      </c>
      <c r="I23" s="3">
        <v>1</v>
      </c>
      <c r="J23" s="3">
        <v>0</v>
      </c>
      <c r="K23" s="3">
        <v>1</v>
      </c>
      <c r="L23" s="3">
        <v>0</v>
      </c>
      <c r="M23" s="3"/>
      <c r="N23" s="3"/>
      <c r="O23" s="3"/>
      <c r="P23" s="3"/>
      <c r="Q23" s="2" t="str">
        <f t="shared" si="0"/>
        <v>A0B0G0A1B0P1A0</v>
      </c>
      <c r="R23" s="3">
        <v>1</v>
      </c>
      <c r="S23" s="3">
        <f t="shared" si="12"/>
        <v>20</v>
      </c>
      <c r="T23" s="2" t="s">
        <v>106</v>
      </c>
      <c r="U23" s="3">
        <v>1</v>
      </c>
      <c r="V23" s="43">
        <v>2</v>
      </c>
      <c r="W23" s="3">
        <f t="shared" si="7"/>
        <v>0.72</v>
      </c>
      <c r="X23" s="3" t="s">
        <v>31</v>
      </c>
      <c r="Y23" s="2">
        <f t="shared" si="8"/>
        <v>0</v>
      </c>
      <c r="Z23" s="2">
        <f t="shared" si="9"/>
        <v>0</v>
      </c>
      <c r="AA23" s="2">
        <f t="shared" si="10"/>
        <v>0</v>
      </c>
      <c r="AB23" s="2">
        <f t="shared" si="11"/>
        <v>0.72</v>
      </c>
      <c r="AC23" s="2" t="str">
        <f>VLOOKUP(V23,'VA SVA NVA Summary'!A:E,3,0)</f>
        <v>TENTATIVE MOVES - PART</v>
      </c>
    </row>
    <row r="24" spans="1:29" x14ac:dyDescent="0.3">
      <c r="A24" s="2">
        <v>19</v>
      </c>
      <c r="B24" s="2"/>
      <c r="C24" s="2"/>
      <c r="D24" s="2" t="s">
        <v>95</v>
      </c>
      <c r="E24" s="3" t="s">
        <v>1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3</v>
      </c>
      <c r="L24" s="3">
        <v>0</v>
      </c>
      <c r="M24" s="3"/>
      <c r="N24" s="3"/>
      <c r="O24" s="3"/>
      <c r="P24" s="3"/>
      <c r="Q24" s="2" t="str">
        <f t="shared" si="0"/>
        <v>A0B0G0A1B0P3A0</v>
      </c>
      <c r="R24" s="3">
        <v>1</v>
      </c>
      <c r="S24" s="3">
        <f t="shared" si="12"/>
        <v>40</v>
      </c>
      <c r="T24" s="2" t="s">
        <v>109</v>
      </c>
      <c r="U24" s="3">
        <v>1</v>
      </c>
      <c r="V24" s="43">
        <v>35</v>
      </c>
      <c r="W24" s="3">
        <f t="shared" si="7"/>
        <v>1.44</v>
      </c>
      <c r="X24" s="3" t="s">
        <v>31</v>
      </c>
      <c r="Y24" s="2">
        <f t="shared" si="8"/>
        <v>1.44</v>
      </c>
      <c r="Z24" s="2">
        <f t="shared" si="9"/>
        <v>0</v>
      </c>
      <c r="AA24" s="2">
        <f t="shared" si="10"/>
        <v>0</v>
      </c>
      <c r="AB24" s="2">
        <f t="shared" si="11"/>
        <v>0</v>
      </c>
      <c r="AC24" s="2" t="str">
        <f>VLOOKUP(V24,'VA SVA NVA Summary'!A:E,3,0)</f>
        <v>GLUING</v>
      </c>
    </row>
    <row r="25" spans="1:29" x14ac:dyDescent="0.3">
      <c r="A25" s="2">
        <v>20</v>
      </c>
      <c r="B25" s="2"/>
      <c r="C25" s="2"/>
      <c r="D25" s="2" t="s">
        <v>95</v>
      </c>
      <c r="E25" s="3" t="s">
        <v>1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/>
      <c r="N25" s="3"/>
      <c r="O25" s="3"/>
      <c r="P25" s="3"/>
      <c r="Q25" s="2" t="str">
        <f t="shared" si="0"/>
        <v>A0B0G1A0B0P0A0</v>
      </c>
      <c r="R25" s="3">
        <v>1</v>
      </c>
      <c r="S25" s="3">
        <f t="shared" si="12"/>
        <v>10</v>
      </c>
      <c r="T25" s="2" t="s">
        <v>110</v>
      </c>
      <c r="U25" s="3">
        <v>1</v>
      </c>
      <c r="V25" s="43">
        <v>5</v>
      </c>
      <c r="W25" s="3">
        <f t="shared" si="7"/>
        <v>0.36</v>
      </c>
      <c r="X25" s="3" t="s">
        <v>31</v>
      </c>
      <c r="Y25" s="2">
        <f t="shared" si="8"/>
        <v>0</v>
      </c>
      <c r="Z25" s="2">
        <f t="shared" si="9"/>
        <v>0</v>
      </c>
      <c r="AA25" s="2">
        <f t="shared" si="10"/>
        <v>0</v>
      </c>
      <c r="AB25" s="2">
        <f t="shared" si="11"/>
        <v>0.36</v>
      </c>
      <c r="AC25" s="2" t="str">
        <f>VLOOKUP(V25,'VA SVA NVA Summary'!A:E,3,0)</f>
        <v>TENTATIVE MOVES-TOOL</v>
      </c>
    </row>
    <row r="26" spans="1:29" x14ac:dyDescent="0.3">
      <c r="A26" s="2">
        <v>21</v>
      </c>
      <c r="B26" s="2"/>
      <c r="C26" s="2"/>
      <c r="D26" s="2" t="s">
        <v>95</v>
      </c>
      <c r="E26" s="3" t="s">
        <v>6</v>
      </c>
      <c r="F26" s="3">
        <v>0</v>
      </c>
      <c r="G26" s="3">
        <v>0</v>
      </c>
      <c r="H26" s="3">
        <v>0</v>
      </c>
      <c r="I26" s="3">
        <v>1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2" t="str">
        <f t="shared" si="0"/>
        <v>A0B0G0M1X0I0A0</v>
      </c>
      <c r="R26" s="3">
        <v>3</v>
      </c>
      <c r="S26" s="3">
        <f t="shared" si="12"/>
        <v>30</v>
      </c>
      <c r="T26" s="2" t="s">
        <v>111</v>
      </c>
      <c r="U26" s="3">
        <v>1</v>
      </c>
      <c r="V26" s="43">
        <v>35</v>
      </c>
      <c r="W26" s="3">
        <f t="shared" si="7"/>
        <v>1.0799999999999998</v>
      </c>
      <c r="X26" s="3" t="s">
        <v>31</v>
      </c>
      <c r="Y26" s="2">
        <f t="shared" si="8"/>
        <v>1.0799999999999998</v>
      </c>
      <c r="Z26" s="2">
        <f t="shared" si="9"/>
        <v>0</v>
      </c>
      <c r="AA26" s="2">
        <f t="shared" si="10"/>
        <v>0</v>
      </c>
      <c r="AB26" s="2">
        <f t="shared" si="11"/>
        <v>0</v>
      </c>
      <c r="AC26" s="2" t="str">
        <f>VLOOKUP(V26,'VA SVA NVA Summary'!A:E,3,0)</f>
        <v>GLUING</v>
      </c>
    </row>
    <row r="27" spans="1:29" x14ac:dyDescent="0.3">
      <c r="A27" s="2">
        <v>22</v>
      </c>
      <c r="B27" s="2"/>
      <c r="C27" s="2"/>
      <c r="D27" s="2" t="s">
        <v>95</v>
      </c>
      <c r="E27" s="3" t="s">
        <v>1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  <c r="K27" s="3">
        <v>1</v>
      </c>
      <c r="L27" s="3">
        <v>0</v>
      </c>
      <c r="M27" s="3"/>
      <c r="N27" s="3"/>
      <c r="O27" s="3"/>
      <c r="P27" s="3"/>
      <c r="Q27" s="2" t="str">
        <f t="shared" si="0"/>
        <v>A0B0G0A1B0P1A0</v>
      </c>
      <c r="R27" s="3">
        <v>1</v>
      </c>
      <c r="S27" s="3">
        <f t="shared" si="12"/>
        <v>20</v>
      </c>
      <c r="T27" s="2" t="s">
        <v>112</v>
      </c>
      <c r="U27" s="3">
        <v>1</v>
      </c>
      <c r="V27" s="43">
        <v>13</v>
      </c>
      <c r="W27" s="3">
        <f t="shared" si="7"/>
        <v>0.72</v>
      </c>
      <c r="X27" s="3" t="s">
        <v>31</v>
      </c>
      <c r="Y27" s="2">
        <f t="shared" si="8"/>
        <v>0</v>
      </c>
      <c r="Z27" s="2">
        <f t="shared" si="9"/>
        <v>0</v>
      </c>
      <c r="AA27" s="2">
        <f t="shared" si="10"/>
        <v>0</v>
      </c>
      <c r="AB27" s="2">
        <f t="shared" si="11"/>
        <v>0.72</v>
      </c>
      <c r="AC27" s="2" t="str">
        <f>VLOOKUP(V27,'VA SVA NVA Summary'!A:E,3,0)</f>
        <v>LAY ASIDE</v>
      </c>
    </row>
    <row r="28" spans="1:29" x14ac:dyDescent="0.3">
      <c r="A28" s="2">
        <v>23</v>
      </c>
      <c r="B28" s="2"/>
      <c r="C28" s="2"/>
      <c r="D28" s="2" t="s">
        <v>95</v>
      </c>
      <c r="E28" s="3" t="s">
        <v>1</v>
      </c>
      <c r="F28" s="3">
        <v>1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/>
      <c r="N28" s="3"/>
      <c r="O28" s="3"/>
      <c r="P28" s="3"/>
      <c r="Q28" s="2" t="str">
        <f t="shared" si="0"/>
        <v>A1B0G1A0B0P0A0</v>
      </c>
      <c r="R28" s="3">
        <v>1</v>
      </c>
      <c r="S28" s="3">
        <f t="shared" si="12"/>
        <v>20</v>
      </c>
      <c r="T28" s="2" t="s">
        <v>113</v>
      </c>
      <c r="U28" s="3">
        <v>1</v>
      </c>
      <c r="V28" s="43">
        <v>2</v>
      </c>
      <c r="W28" s="3">
        <f t="shared" si="7"/>
        <v>0.72</v>
      </c>
      <c r="X28" s="3" t="s">
        <v>31</v>
      </c>
      <c r="Y28" s="2">
        <f t="shared" si="8"/>
        <v>0</v>
      </c>
      <c r="Z28" s="2">
        <f t="shared" si="9"/>
        <v>0</v>
      </c>
      <c r="AA28" s="2">
        <f t="shared" si="10"/>
        <v>0</v>
      </c>
      <c r="AB28" s="2">
        <f t="shared" si="11"/>
        <v>0.72</v>
      </c>
      <c r="AC28" s="2" t="str">
        <f>VLOOKUP(V28,'VA SVA NVA Summary'!A:E,3,0)</f>
        <v>TENTATIVE MOVES - PART</v>
      </c>
    </row>
    <row r="29" spans="1:29" x14ac:dyDescent="0.3">
      <c r="A29" s="2">
        <v>24</v>
      </c>
      <c r="B29" s="2"/>
      <c r="C29" s="2"/>
      <c r="D29" s="2" t="s">
        <v>95</v>
      </c>
      <c r="E29" s="3" t="s">
        <v>1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1</v>
      </c>
      <c r="L29" s="3">
        <v>0</v>
      </c>
      <c r="M29" s="3"/>
      <c r="N29" s="3"/>
      <c r="O29" s="3"/>
      <c r="P29" s="3"/>
      <c r="Q29" s="2" t="str">
        <f t="shared" si="0"/>
        <v>A0B0G0A1B0P1A0</v>
      </c>
      <c r="R29" s="3">
        <v>1</v>
      </c>
      <c r="S29" s="3">
        <f t="shared" si="12"/>
        <v>20</v>
      </c>
      <c r="T29" s="2" t="s">
        <v>114</v>
      </c>
      <c r="U29" s="3">
        <v>1</v>
      </c>
      <c r="V29" s="43">
        <v>13</v>
      </c>
      <c r="W29" s="3">
        <f t="shared" si="7"/>
        <v>0.72</v>
      </c>
      <c r="X29" s="3" t="s">
        <v>31</v>
      </c>
      <c r="Y29" s="2">
        <f t="shared" si="8"/>
        <v>0</v>
      </c>
      <c r="Z29" s="2">
        <f t="shared" si="9"/>
        <v>0</v>
      </c>
      <c r="AA29" s="2">
        <f t="shared" si="10"/>
        <v>0</v>
      </c>
      <c r="AB29" s="2">
        <f t="shared" si="11"/>
        <v>0.72</v>
      </c>
      <c r="AC29" s="2" t="str">
        <f>VLOOKUP(V29,'VA SVA NVA Summary'!A:E,3,0)</f>
        <v>LAY ASIDE</v>
      </c>
    </row>
    <row r="30" spans="1:29" x14ac:dyDescent="0.3">
      <c r="A30" s="2">
        <v>25</v>
      </c>
      <c r="B30" s="2"/>
      <c r="C30" s="2"/>
      <c r="D30" s="2" t="s">
        <v>95</v>
      </c>
      <c r="E30" s="3" t="s">
        <v>1</v>
      </c>
      <c r="F30" s="3">
        <v>1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/>
      <c r="N30" s="3"/>
      <c r="O30" s="3"/>
      <c r="P30" s="3"/>
      <c r="Q30" s="2" t="str">
        <f t="shared" si="0"/>
        <v>A1B0G1A0B0P0A0</v>
      </c>
      <c r="R30" s="3">
        <v>1</v>
      </c>
      <c r="S30" s="3">
        <f t="shared" si="12"/>
        <v>20</v>
      </c>
      <c r="T30" s="2" t="s">
        <v>115</v>
      </c>
      <c r="U30" s="3">
        <v>1</v>
      </c>
      <c r="V30" s="43">
        <v>5</v>
      </c>
      <c r="W30" s="3">
        <f t="shared" si="7"/>
        <v>0.72</v>
      </c>
      <c r="X30" s="3" t="s">
        <v>31</v>
      </c>
      <c r="Y30" s="2">
        <f t="shared" si="8"/>
        <v>0</v>
      </c>
      <c r="Z30" s="2">
        <f t="shared" si="9"/>
        <v>0</v>
      </c>
      <c r="AA30" s="2">
        <f t="shared" si="10"/>
        <v>0</v>
      </c>
      <c r="AB30" s="2">
        <f t="shared" si="11"/>
        <v>0.72</v>
      </c>
      <c r="AC30" s="2" t="str">
        <f>VLOOKUP(V30,'VA SVA NVA Summary'!A:E,3,0)</f>
        <v>TENTATIVE MOVES-TOOL</v>
      </c>
    </row>
    <row r="31" spans="1:29" x14ac:dyDescent="0.3">
      <c r="A31" s="2">
        <v>26</v>
      </c>
      <c r="B31" s="2"/>
      <c r="C31" s="2"/>
      <c r="D31" s="2" t="s">
        <v>95</v>
      </c>
      <c r="E31" s="3" t="s">
        <v>6</v>
      </c>
      <c r="F31" s="3">
        <v>0</v>
      </c>
      <c r="G31" s="3">
        <v>0</v>
      </c>
      <c r="H31" s="3">
        <v>0</v>
      </c>
      <c r="I31" s="3">
        <v>3</v>
      </c>
      <c r="J31" s="3">
        <v>0</v>
      </c>
      <c r="K31" s="3">
        <v>0</v>
      </c>
      <c r="L31" s="3">
        <v>0</v>
      </c>
      <c r="M31" s="3"/>
      <c r="N31" s="3"/>
      <c r="O31" s="3"/>
      <c r="P31" s="3"/>
      <c r="Q31" s="2" t="str">
        <f t="shared" si="0"/>
        <v>A0B0G0M3X0I0A0</v>
      </c>
      <c r="R31" s="3">
        <v>1</v>
      </c>
      <c r="S31" s="3">
        <f t="shared" si="12"/>
        <v>30</v>
      </c>
      <c r="T31" s="2" t="s">
        <v>116</v>
      </c>
      <c r="U31" s="3">
        <v>1</v>
      </c>
      <c r="V31" s="43">
        <v>5</v>
      </c>
      <c r="W31" s="3">
        <f t="shared" si="7"/>
        <v>1.0799999999999998</v>
      </c>
      <c r="X31" s="3" t="s">
        <v>31</v>
      </c>
      <c r="Y31" s="2">
        <f t="shared" si="8"/>
        <v>0</v>
      </c>
      <c r="Z31" s="2">
        <f t="shared" si="9"/>
        <v>0</v>
      </c>
      <c r="AA31" s="2">
        <f t="shared" si="10"/>
        <v>0</v>
      </c>
      <c r="AB31" s="2">
        <f t="shared" si="11"/>
        <v>1.0799999999999998</v>
      </c>
      <c r="AC31" s="2" t="str">
        <f>VLOOKUP(V31,'VA SVA NVA Summary'!A:E,3,0)</f>
        <v>TENTATIVE MOVES-TOOL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6442-9F3A-409C-8C87-146965923731}">
  <dimension ref="A1:K53"/>
  <sheetViews>
    <sheetView zoomScaleNormal="85" workbookViewId="0">
      <selection activeCell="D18" sqref="D18"/>
    </sheetView>
  </sheetViews>
  <sheetFormatPr defaultColWidth="8.88671875" defaultRowHeight="14.4" x14ac:dyDescent="0.3"/>
  <cols>
    <col min="1" max="1" width="8.88671875" style="6"/>
    <col min="2" max="2" width="12.88671875" style="6" bestFit="1" customWidth="1"/>
    <col min="3" max="3" width="44.33203125" style="6" bestFit="1" customWidth="1"/>
    <col min="4" max="4" width="12.88671875" style="6" bestFit="1" customWidth="1"/>
    <col min="5" max="5" width="10.5546875" style="6" bestFit="1" customWidth="1"/>
    <col min="6" max="6" width="10.44140625" style="6" bestFit="1" customWidth="1"/>
    <col min="7" max="7" width="13.33203125" style="6" bestFit="1" customWidth="1"/>
    <col min="8" max="8" width="8.88671875" style="6"/>
    <col min="9" max="9" width="16.5546875" style="6" customWidth="1"/>
    <col min="10" max="16384" width="8.88671875" style="6"/>
  </cols>
  <sheetData>
    <row r="1" spans="1:11" x14ac:dyDescent="0.3">
      <c r="A1" s="4" t="s">
        <v>32</v>
      </c>
      <c r="B1" s="4" t="s">
        <v>33</v>
      </c>
      <c r="C1" s="4" t="s">
        <v>34</v>
      </c>
      <c r="D1" s="4" t="s">
        <v>33</v>
      </c>
      <c r="E1" s="4" t="s">
        <v>35</v>
      </c>
      <c r="F1" s="5" t="s">
        <v>36</v>
      </c>
      <c r="G1" s="4" t="s">
        <v>37</v>
      </c>
    </row>
    <row r="2" spans="1:11" ht="15.6" customHeight="1" x14ac:dyDescent="0.3">
      <c r="A2" s="7">
        <v>0</v>
      </c>
      <c r="B2" s="8" t="s">
        <v>38</v>
      </c>
      <c r="C2" s="8" t="s">
        <v>38</v>
      </c>
      <c r="D2" s="8" t="s">
        <v>38</v>
      </c>
      <c r="E2" s="8">
        <v>0</v>
      </c>
      <c r="F2" s="9">
        <f>SUMIF('MOST Analysis'!V:V,'VA SVA NVA Summary'!E2,'MOST Analysis'!W:W)</f>
        <v>0</v>
      </c>
      <c r="G2" s="10">
        <f t="shared" ref="G2" si="0">F2/60</f>
        <v>0</v>
      </c>
    </row>
    <row r="3" spans="1:11" ht="43.2" x14ac:dyDescent="0.3">
      <c r="A3" s="29">
        <v>1</v>
      </c>
      <c r="B3" s="11" t="s">
        <v>29</v>
      </c>
      <c r="C3" s="26" t="s">
        <v>43</v>
      </c>
      <c r="D3" s="12" t="s">
        <v>29</v>
      </c>
      <c r="E3" s="29">
        <v>1</v>
      </c>
      <c r="F3" s="9">
        <f>SUMIF('MOST Analysis'!V:V,'VA SVA NVA Summary'!E3,'MOST Analysis'!W:W)</f>
        <v>0</v>
      </c>
      <c r="G3" s="10">
        <f t="shared" ref="G3:G52" si="1">F3/60</f>
        <v>0</v>
      </c>
      <c r="I3" s="13" t="s">
        <v>39</v>
      </c>
      <c r="J3" s="13" t="s">
        <v>40</v>
      </c>
    </row>
    <row r="4" spans="1:11" x14ac:dyDescent="0.3">
      <c r="A4" s="29">
        <v>2</v>
      </c>
      <c r="B4" s="11" t="s">
        <v>29</v>
      </c>
      <c r="C4" s="26" t="s">
        <v>44</v>
      </c>
      <c r="D4" s="12" t="s">
        <v>29</v>
      </c>
      <c r="E4" s="29">
        <v>2</v>
      </c>
      <c r="F4" s="9">
        <f>SUMIF('MOST Analysis'!V:V,'VA SVA NVA Summary'!E4,'MOST Analysis'!W:W)</f>
        <v>4.3199999999999994</v>
      </c>
      <c r="G4" s="10">
        <f t="shared" si="1"/>
        <v>7.1999999999999995E-2</v>
      </c>
      <c r="I4" s="14" t="s">
        <v>41</v>
      </c>
      <c r="J4" s="10">
        <f>G2</f>
        <v>0</v>
      </c>
    </row>
    <row r="5" spans="1:11" x14ac:dyDescent="0.3">
      <c r="A5" s="29">
        <v>3</v>
      </c>
      <c r="B5" s="11" t="s">
        <v>29</v>
      </c>
      <c r="C5" s="26" t="s">
        <v>45</v>
      </c>
      <c r="D5" s="12" t="s">
        <v>29</v>
      </c>
      <c r="E5" s="29">
        <v>3</v>
      </c>
      <c r="F5" s="9">
        <f>SUMIF('MOST Analysis'!V:V,'VA SVA NVA Summary'!E5,'MOST Analysis'!W:W)</f>
        <v>0</v>
      </c>
      <c r="G5" s="10">
        <f t="shared" si="1"/>
        <v>0</v>
      </c>
      <c r="I5" s="14" t="s">
        <v>27</v>
      </c>
      <c r="J5" s="10">
        <f ca="1">SUMIF(D:G,I5,G:G)</f>
        <v>8.3999999999999991E-2</v>
      </c>
      <c r="K5" s="15">
        <f ca="1">J5/$J$9</f>
        <v>0.22950819672131145</v>
      </c>
    </row>
    <row r="6" spans="1:11" x14ac:dyDescent="0.3">
      <c r="A6" s="29">
        <v>4</v>
      </c>
      <c r="B6" s="11" t="s">
        <v>29</v>
      </c>
      <c r="C6" s="26" t="s">
        <v>46</v>
      </c>
      <c r="D6" s="12" t="s">
        <v>29</v>
      </c>
      <c r="E6" s="29">
        <v>4</v>
      </c>
      <c r="F6" s="9">
        <f>SUMIF('MOST Analysis'!V:V,'VA SVA NVA Summary'!E6,'MOST Analysis'!W:W)</f>
        <v>1.08</v>
      </c>
      <c r="G6" s="10">
        <f t="shared" si="1"/>
        <v>1.8000000000000002E-2</v>
      </c>
      <c r="I6" s="14" t="s">
        <v>71</v>
      </c>
      <c r="J6" s="10">
        <f ca="1">SUMIF(D:G,I6,G:G)</f>
        <v>0</v>
      </c>
      <c r="K6" s="15">
        <f t="shared" ref="K6:K8" ca="1" si="2">J6/$J$9</f>
        <v>0</v>
      </c>
    </row>
    <row r="7" spans="1:11" x14ac:dyDescent="0.3">
      <c r="A7" s="29">
        <v>5</v>
      </c>
      <c r="B7" s="11" t="s">
        <v>29</v>
      </c>
      <c r="C7" s="26" t="s">
        <v>47</v>
      </c>
      <c r="D7" s="12" t="s">
        <v>29</v>
      </c>
      <c r="E7" s="29">
        <v>5</v>
      </c>
      <c r="F7" s="9">
        <f>SUMIF('MOST Analysis'!V:V,'VA SVA NVA Summary'!E7,'MOST Analysis'!W:W)</f>
        <v>5.7599999999999989</v>
      </c>
      <c r="G7" s="10">
        <f t="shared" si="1"/>
        <v>9.5999999999999988E-2</v>
      </c>
      <c r="I7" s="14" t="s">
        <v>28</v>
      </c>
      <c r="J7" s="10">
        <f ca="1">SUMIF(D:G,I7,G:G)</f>
        <v>7.2000000000000008E-2</v>
      </c>
      <c r="K7" s="15">
        <f t="shared" ca="1" si="2"/>
        <v>0.19672131147540986</v>
      </c>
    </row>
    <row r="8" spans="1:11" x14ac:dyDescent="0.3">
      <c r="A8" s="29">
        <v>6</v>
      </c>
      <c r="B8" s="11" t="s">
        <v>29</v>
      </c>
      <c r="C8" s="27" t="s">
        <v>48</v>
      </c>
      <c r="D8" s="12" t="s">
        <v>29</v>
      </c>
      <c r="E8" s="29">
        <v>6</v>
      </c>
      <c r="F8" s="9">
        <f>SUMIF('MOST Analysis'!V:V,'VA SVA NVA Summary'!E8,'MOST Analysis'!W:W)</f>
        <v>0</v>
      </c>
      <c r="G8" s="10">
        <f t="shared" si="1"/>
        <v>0</v>
      </c>
      <c r="I8" s="14" t="s">
        <v>29</v>
      </c>
      <c r="J8" s="10">
        <f ca="1">SUMIF(D:G,I8,G:G)</f>
        <v>0.21</v>
      </c>
      <c r="K8" s="15">
        <f t="shared" ca="1" si="2"/>
        <v>0.57377049180327866</v>
      </c>
    </row>
    <row r="9" spans="1:11" x14ac:dyDescent="0.3">
      <c r="A9" s="29">
        <v>7</v>
      </c>
      <c r="B9" s="11" t="s">
        <v>29</v>
      </c>
      <c r="C9" s="26" t="s">
        <v>49</v>
      </c>
      <c r="D9" s="12" t="s">
        <v>29</v>
      </c>
      <c r="E9" s="29">
        <v>7</v>
      </c>
      <c r="F9" s="9">
        <f>SUMIF('MOST Analysis'!V:V,'VA SVA NVA Summary'!E9,'MOST Analysis'!W:W)</f>
        <v>0</v>
      </c>
      <c r="G9" s="10">
        <f t="shared" si="1"/>
        <v>0</v>
      </c>
      <c r="I9" s="14" t="s">
        <v>42</v>
      </c>
      <c r="J9" s="16">
        <f ca="1">SUM(J4:J8)</f>
        <v>0.36599999999999999</v>
      </c>
    </row>
    <row r="10" spans="1:11" x14ac:dyDescent="0.3">
      <c r="A10" s="29">
        <v>8</v>
      </c>
      <c r="B10" s="11" t="s">
        <v>29</v>
      </c>
      <c r="C10" s="26" t="s">
        <v>50</v>
      </c>
      <c r="D10" s="12" t="s">
        <v>29</v>
      </c>
      <c r="E10" s="29">
        <v>8</v>
      </c>
      <c r="F10" s="9">
        <f>SUMIF('MOST Analysis'!V:V,'VA SVA NVA Summary'!E10,'MOST Analysis'!W:W)</f>
        <v>0</v>
      </c>
      <c r="G10" s="10">
        <f t="shared" si="1"/>
        <v>0</v>
      </c>
    </row>
    <row r="11" spans="1:11" x14ac:dyDescent="0.3">
      <c r="A11" s="29">
        <v>9</v>
      </c>
      <c r="B11" s="11" t="s">
        <v>29</v>
      </c>
      <c r="C11" s="26" t="s">
        <v>51</v>
      </c>
      <c r="D11" s="12" t="s">
        <v>29</v>
      </c>
      <c r="E11" s="29">
        <v>9</v>
      </c>
      <c r="F11" s="9">
        <f>SUMIF('MOST Analysis'!V:V,'VA SVA NVA Summary'!E11,'MOST Analysis'!W:W)</f>
        <v>0</v>
      </c>
      <c r="G11" s="10">
        <f t="shared" si="1"/>
        <v>0</v>
      </c>
    </row>
    <row r="12" spans="1:11" x14ac:dyDescent="0.3">
      <c r="A12" s="30">
        <v>10</v>
      </c>
      <c r="B12" s="11" t="s">
        <v>29</v>
      </c>
      <c r="C12" s="28" t="s">
        <v>52</v>
      </c>
      <c r="D12" s="12" t="s">
        <v>29</v>
      </c>
      <c r="E12" s="30">
        <v>10</v>
      </c>
      <c r="F12" s="9">
        <f>SUMIF('MOST Analysis'!V:V,'VA SVA NVA Summary'!E12,'MOST Analysis'!W:W)</f>
        <v>0</v>
      </c>
      <c r="G12" s="10">
        <f t="shared" si="1"/>
        <v>0</v>
      </c>
    </row>
    <row r="13" spans="1:11" x14ac:dyDescent="0.3">
      <c r="A13" s="29">
        <v>11</v>
      </c>
      <c r="B13" s="11" t="s">
        <v>29</v>
      </c>
      <c r="C13" s="26" t="s">
        <v>53</v>
      </c>
      <c r="D13" s="12" t="s">
        <v>29</v>
      </c>
      <c r="E13" s="29">
        <v>11</v>
      </c>
      <c r="F13" s="9">
        <f>SUMIF('MOST Analysis'!V:V,'VA SVA NVA Summary'!E13,'MOST Analysis'!W:W)</f>
        <v>0</v>
      </c>
      <c r="G13" s="10">
        <f t="shared" si="1"/>
        <v>0</v>
      </c>
    </row>
    <row r="14" spans="1:11" x14ac:dyDescent="0.3">
      <c r="A14" s="29">
        <v>12</v>
      </c>
      <c r="B14" s="11" t="s">
        <v>29</v>
      </c>
      <c r="C14" s="26" t="s">
        <v>54</v>
      </c>
      <c r="D14" s="12" t="s">
        <v>29</v>
      </c>
      <c r="E14" s="29">
        <v>12</v>
      </c>
      <c r="F14" s="9">
        <f>SUMIF('MOST Analysis'!V:V,'VA SVA NVA Summary'!E14,'MOST Analysis'!W:W)</f>
        <v>0</v>
      </c>
      <c r="G14" s="10">
        <f t="shared" si="1"/>
        <v>0</v>
      </c>
    </row>
    <row r="15" spans="1:11" x14ac:dyDescent="0.3">
      <c r="A15" s="29">
        <v>13</v>
      </c>
      <c r="B15" s="11" t="s">
        <v>29</v>
      </c>
      <c r="C15" s="26" t="s">
        <v>55</v>
      </c>
      <c r="D15" s="12" t="s">
        <v>29</v>
      </c>
      <c r="E15" s="29">
        <v>13</v>
      </c>
      <c r="F15" s="9">
        <f>SUMIF('MOST Analysis'!V:V,'VA SVA NVA Summary'!E15,'MOST Analysis'!W:W)</f>
        <v>1.44</v>
      </c>
      <c r="G15" s="10">
        <f t="shared" si="1"/>
        <v>2.4E-2</v>
      </c>
    </row>
    <row r="16" spans="1:11" x14ac:dyDescent="0.3">
      <c r="A16" s="29">
        <v>14</v>
      </c>
      <c r="B16" s="11" t="s">
        <v>29</v>
      </c>
      <c r="C16" s="26" t="s">
        <v>56</v>
      </c>
      <c r="D16" s="12" t="s">
        <v>29</v>
      </c>
      <c r="E16" s="29">
        <v>14</v>
      </c>
      <c r="F16" s="9">
        <f>SUMIF('MOST Analysis'!V:V,'VA SVA NVA Summary'!E16,'MOST Analysis'!W:W)</f>
        <v>0</v>
      </c>
      <c r="G16" s="10">
        <f t="shared" si="1"/>
        <v>0</v>
      </c>
    </row>
    <row r="17" spans="1:7" x14ac:dyDescent="0.3">
      <c r="A17" s="29">
        <v>15</v>
      </c>
      <c r="B17" s="11" t="s">
        <v>29</v>
      </c>
      <c r="C17" s="28" t="s">
        <v>57</v>
      </c>
      <c r="D17" s="12" t="s">
        <v>29</v>
      </c>
      <c r="E17" s="29">
        <v>15</v>
      </c>
      <c r="F17" s="9">
        <f>SUMIF('MOST Analysis'!V:V,'VA SVA NVA Summary'!E17,'MOST Analysis'!W:W)</f>
        <v>0</v>
      </c>
      <c r="G17" s="10">
        <f t="shared" si="1"/>
        <v>0</v>
      </c>
    </row>
    <row r="18" spans="1:7" x14ac:dyDescent="0.3">
      <c r="A18" s="29">
        <v>16</v>
      </c>
      <c r="B18" s="11" t="s">
        <v>29</v>
      </c>
      <c r="C18" s="26" t="s">
        <v>58</v>
      </c>
      <c r="D18" s="12" t="s">
        <v>29</v>
      </c>
      <c r="E18" s="29">
        <v>16</v>
      </c>
      <c r="F18" s="9">
        <f>SUMIF('MOST Analysis'!V:V,'VA SVA NVA Summary'!E18,'MOST Analysis'!W:W)</f>
        <v>0</v>
      </c>
      <c r="G18" s="10">
        <f t="shared" si="1"/>
        <v>0</v>
      </c>
    </row>
    <row r="19" spans="1:7" x14ac:dyDescent="0.3">
      <c r="A19" s="30">
        <v>17</v>
      </c>
      <c r="B19" s="11" t="s">
        <v>29</v>
      </c>
      <c r="C19" s="28" t="s">
        <v>59</v>
      </c>
      <c r="D19" s="12" t="s">
        <v>29</v>
      </c>
      <c r="E19" s="30">
        <v>17</v>
      </c>
      <c r="F19" s="9">
        <f>SUMIF('MOST Analysis'!V:V,'VA SVA NVA Summary'!E19,'MOST Analysis'!W:W)</f>
        <v>0</v>
      </c>
      <c r="G19" s="10">
        <f t="shared" si="1"/>
        <v>0</v>
      </c>
    </row>
    <row r="20" spans="1:7" x14ac:dyDescent="0.3">
      <c r="A20" s="29">
        <v>18</v>
      </c>
      <c r="B20" s="11" t="s">
        <v>29</v>
      </c>
      <c r="C20" s="26" t="s">
        <v>60</v>
      </c>
      <c r="D20" s="12" t="s">
        <v>29</v>
      </c>
      <c r="E20" s="29">
        <v>18</v>
      </c>
      <c r="F20" s="9">
        <f>SUMIF('MOST Analysis'!V:V,'VA SVA NVA Summary'!E20,'MOST Analysis'!W:W)</f>
        <v>0</v>
      </c>
      <c r="G20" s="10">
        <f t="shared" si="1"/>
        <v>0</v>
      </c>
    </row>
    <row r="21" spans="1:7" x14ac:dyDescent="0.3">
      <c r="A21" s="29">
        <v>19</v>
      </c>
      <c r="B21" s="11" t="s">
        <v>29</v>
      </c>
      <c r="C21" s="26" t="s">
        <v>61</v>
      </c>
      <c r="D21" s="12" t="s">
        <v>29</v>
      </c>
      <c r="E21" s="29">
        <v>19</v>
      </c>
      <c r="F21" s="9">
        <f>SUMIF('MOST Analysis'!V:V,'VA SVA NVA Summary'!E21,'MOST Analysis'!W:W)</f>
        <v>0</v>
      </c>
      <c r="G21" s="10">
        <f t="shared" si="1"/>
        <v>0</v>
      </c>
    </row>
    <row r="22" spans="1:7" x14ac:dyDescent="0.3">
      <c r="A22" s="29">
        <v>20</v>
      </c>
      <c r="B22" s="11" t="s">
        <v>29</v>
      </c>
      <c r="C22" s="26" t="s">
        <v>62</v>
      </c>
      <c r="D22" s="12" t="s">
        <v>29</v>
      </c>
      <c r="E22" s="29">
        <v>20</v>
      </c>
      <c r="F22" s="9">
        <f>SUMIF('MOST Analysis'!V:V,'VA SVA NVA Summary'!E22,'MOST Analysis'!W:W)</f>
        <v>0</v>
      </c>
      <c r="G22" s="10">
        <f t="shared" si="1"/>
        <v>0</v>
      </c>
    </row>
    <row r="23" spans="1:7" x14ac:dyDescent="0.3">
      <c r="A23" s="29">
        <v>21</v>
      </c>
      <c r="B23" s="11" t="s">
        <v>29</v>
      </c>
      <c r="C23" s="26" t="s">
        <v>63</v>
      </c>
      <c r="D23" s="12" t="s">
        <v>29</v>
      </c>
      <c r="E23" s="29">
        <v>21</v>
      </c>
      <c r="F23" s="9">
        <f>SUMIF('MOST Analysis'!V:V,'VA SVA NVA Summary'!E23,'MOST Analysis'!W:W)</f>
        <v>0</v>
      </c>
      <c r="G23" s="10">
        <f t="shared" si="1"/>
        <v>0</v>
      </c>
    </row>
    <row r="24" spans="1:7" x14ac:dyDescent="0.3">
      <c r="A24" s="29">
        <v>22</v>
      </c>
      <c r="B24" s="11" t="s">
        <v>29</v>
      </c>
      <c r="C24" s="26" t="s">
        <v>64</v>
      </c>
      <c r="D24" s="12" t="s">
        <v>29</v>
      </c>
      <c r="E24" s="29">
        <v>22</v>
      </c>
      <c r="F24" s="9">
        <f>SUMIF('MOST Analysis'!V:V,'VA SVA NVA Summary'!E24,'MOST Analysis'!W:W)</f>
        <v>0</v>
      </c>
      <c r="G24" s="10">
        <f t="shared" si="1"/>
        <v>0</v>
      </c>
    </row>
    <row r="25" spans="1:7" x14ac:dyDescent="0.3">
      <c r="A25" s="29">
        <v>23</v>
      </c>
      <c r="B25" s="11" t="s">
        <v>29</v>
      </c>
      <c r="C25" s="26" t="s">
        <v>65</v>
      </c>
      <c r="D25" s="12" t="s">
        <v>29</v>
      </c>
      <c r="E25" s="29">
        <v>23</v>
      </c>
      <c r="F25" s="9">
        <f>SUMIF('MOST Analysis'!V:V,'VA SVA NVA Summary'!E25,'MOST Analysis'!W:W)</f>
        <v>0</v>
      </c>
      <c r="G25" s="10">
        <f t="shared" si="1"/>
        <v>0</v>
      </c>
    </row>
    <row r="26" spans="1:7" x14ac:dyDescent="0.3">
      <c r="A26" s="29">
        <v>48</v>
      </c>
      <c r="B26" s="11" t="s">
        <v>29</v>
      </c>
      <c r="C26" s="28" t="s">
        <v>66</v>
      </c>
      <c r="D26" s="12" t="s">
        <v>29</v>
      </c>
      <c r="E26" s="29">
        <v>48</v>
      </c>
      <c r="F26" s="9">
        <f>SUMIF('MOST Analysis'!V:V,'VA SVA NVA Summary'!E26,'MOST Analysis'!W:W)</f>
        <v>0</v>
      </c>
      <c r="G26" s="10">
        <f t="shared" si="1"/>
        <v>0</v>
      </c>
    </row>
    <row r="27" spans="1:7" x14ac:dyDescent="0.3">
      <c r="A27" s="33">
        <v>24</v>
      </c>
      <c r="B27" s="35" t="s">
        <v>71</v>
      </c>
      <c r="C27" s="31" t="s">
        <v>67</v>
      </c>
      <c r="D27" s="35" t="s">
        <v>71</v>
      </c>
      <c r="E27" s="33">
        <v>24</v>
      </c>
      <c r="F27" s="9">
        <f>SUMIF('MOST Analysis'!V:V,'VA SVA NVA Summary'!E27,'MOST Analysis'!W:W)</f>
        <v>0</v>
      </c>
      <c r="G27" s="10">
        <f t="shared" si="1"/>
        <v>0</v>
      </c>
    </row>
    <row r="28" spans="1:7" x14ac:dyDescent="0.3">
      <c r="A28" s="33">
        <v>25</v>
      </c>
      <c r="B28" s="35" t="s">
        <v>71</v>
      </c>
      <c r="C28" s="31" t="s">
        <v>68</v>
      </c>
      <c r="D28" s="35" t="s">
        <v>71</v>
      </c>
      <c r="E28" s="33">
        <v>25</v>
      </c>
      <c r="F28" s="9">
        <f>SUMIF('MOST Analysis'!V:V,'VA SVA NVA Summary'!E28,'MOST Analysis'!W:W)</f>
        <v>0</v>
      </c>
      <c r="G28" s="10">
        <f t="shared" si="1"/>
        <v>0</v>
      </c>
    </row>
    <row r="29" spans="1:7" x14ac:dyDescent="0.3">
      <c r="A29" s="33">
        <v>26</v>
      </c>
      <c r="B29" s="35" t="s">
        <v>71</v>
      </c>
      <c r="C29" s="31" t="s">
        <v>69</v>
      </c>
      <c r="D29" s="35" t="s">
        <v>71</v>
      </c>
      <c r="E29" s="33">
        <v>26</v>
      </c>
      <c r="F29" s="9">
        <f>SUMIF('MOST Analysis'!V:V,'VA SVA NVA Summary'!E29,'MOST Analysis'!W:W)</f>
        <v>0</v>
      </c>
      <c r="G29" s="10">
        <f t="shared" si="1"/>
        <v>0</v>
      </c>
    </row>
    <row r="30" spans="1:7" x14ac:dyDescent="0.3">
      <c r="A30" s="34">
        <v>27</v>
      </c>
      <c r="B30" s="35" t="s">
        <v>71</v>
      </c>
      <c r="C30" s="32" t="s">
        <v>70</v>
      </c>
      <c r="D30" s="35" t="s">
        <v>71</v>
      </c>
      <c r="E30" s="34">
        <v>27</v>
      </c>
      <c r="F30" s="9">
        <f>SUMIF('MOST Analysis'!V:V,'VA SVA NVA Summary'!E30,'MOST Analysis'!W:W)</f>
        <v>0</v>
      </c>
      <c r="G30" s="10">
        <f t="shared" si="1"/>
        <v>0</v>
      </c>
    </row>
    <row r="31" spans="1:7" x14ac:dyDescent="0.3">
      <c r="A31" s="37">
        <v>28</v>
      </c>
      <c r="B31" s="17" t="s">
        <v>28</v>
      </c>
      <c r="C31" s="36" t="s">
        <v>72</v>
      </c>
      <c r="D31" s="17" t="s">
        <v>28</v>
      </c>
      <c r="E31" s="37">
        <v>28</v>
      </c>
      <c r="F31" s="9">
        <f>SUMIF('MOST Analysis'!V:V,'VA SVA NVA Summary'!E31,'MOST Analysis'!W:W)</f>
        <v>0</v>
      </c>
      <c r="G31" s="10">
        <f t="shared" si="1"/>
        <v>0</v>
      </c>
    </row>
    <row r="32" spans="1:7" x14ac:dyDescent="0.3">
      <c r="A32" s="37">
        <v>29</v>
      </c>
      <c r="B32" s="17" t="s">
        <v>28</v>
      </c>
      <c r="C32" s="36" t="s">
        <v>73</v>
      </c>
      <c r="D32" s="17" t="s">
        <v>28</v>
      </c>
      <c r="E32" s="37">
        <v>29</v>
      </c>
      <c r="F32" s="9">
        <f>SUMIF('MOST Analysis'!V:V,'VA SVA NVA Summary'!E32,'MOST Analysis'!W:W)</f>
        <v>0</v>
      </c>
      <c r="G32" s="10">
        <f t="shared" si="1"/>
        <v>0</v>
      </c>
    </row>
    <row r="33" spans="1:7" x14ac:dyDescent="0.3">
      <c r="A33" s="37">
        <v>30</v>
      </c>
      <c r="B33" s="17" t="s">
        <v>28</v>
      </c>
      <c r="C33" s="36" t="s">
        <v>74</v>
      </c>
      <c r="D33" s="17" t="s">
        <v>28</v>
      </c>
      <c r="E33" s="37">
        <v>30</v>
      </c>
      <c r="F33" s="9">
        <f>SUMIF('MOST Analysis'!V:V,'VA SVA NVA Summary'!E33,'MOST Analysis'!W:W)</f>
        <v>0</v>
      </c>
      <c r="G33" s="10">
        <f t="shared" si="1"/>
        <v>0</v>
      </c>
    </row>
    <row r="34" spans="1:7" x14ac:dyDescent="0.3">
      <c r="A34" s="37">
        <v>31</v>
      </c>
      <c r="B34" s="17" t="s">
        <v>28</v>
      </c>
      <c r="C34" s="36" t="s">
        <v>75</v>
      </c>
      <c r="D34" s="17" t="s">
        <v>28</v>
      </c>
      <c r="E34" s="37">
        <v>31</v>
      </c>
      <c r="F34" s="9">
        <f>SUMIF('MOST Analysis'!V:V,'VA SVA NVA Summary'!E34,'MOST Analysis'!W:W)</f>
        <v>1.44</v>
      </c>
      <c r="G34" s="10">
        <f t="shared" si="1"/>
        <v>2.4E-2</v>
      </c>
    </row>
    <row r="35" spans="1:7" x14ac:dyDescent="0.3">
      <c r="A35" s="37">
        <v>32</v>
      </c>
      <c r="B35" s="17" t="s">
        <v>28</v>
      </c>
      <c r="C35" s="36" t="s">
        <v>76</v>
      </c>
      <c r="D35" s="17" t="s">
        <v>28</v>
      </c>
      <c r="E35" s="37">
        <v>32</v>
      </c>
      <c r="F35" s="9">
        <f>SUMIF('MOST Analysis'!V:V,'VA SVA NVA Summary'!E35,'MOST Analysis'!W:W)</f>
        <v>2.88</v>
      </c>
      <c r="G35" s="10">
        <f t="shared" si="1"/>
        <v>4.8000000000000001E-2</v>
      </c>
    </row>
    <row r="36" spans="1:7" x14ac:dyDescent="0.3">
      <c r="A36" s="37">
        <v>33</v>
      </c>
      <c r="B36" s="17" t="s">
        <v>28</v>
      </c>
      <c r="C36" s="36" t="s">
        <v>77</v>
      </c>
      <c r="D36" s="17" t="s">
        <v>28</v>
      </c>
      <c r="E36" s="37">
        <v>33</v>
      </c>
      <c r="F36" s="9">
        <f>SUMIF('MOST Analysis'!V:V,'VA SVA NVA Summary'!E36,'MOST Analysis'!W:W)</f>
        <v>0</v>
      </c>
      <c r="G36" s="10">
        <f t="shared" si="1"/>
        <v>0</v>
      </c>
    </row>
    <row r="37" spans="1:7" x14ac:dyDescent="0.3">
      <c r="A37" s="39">
        <v>34</v>
      </c>
      <c r="B37" s="38" t="s">
        <v>27</v>
      </c>
      <c r="C37" s="38" t="s">
        <v>78</v>
      </c>
      <c r="D37" s="18" t="s">
        <v>27</v>
      </c>
      <c r="E37" s="39">
        <v>34</v>
      </c>
      <c r="F37" s="9">
        <f>SUMIF('MOST Analysis'!V:V,'VA SVA NVA Summary'!E37,'MOST Analysis'!W:W)</f>
        <v>0</v>
      </c>
      <c r="G37" s="10">
        <f t="shared" si="1"/>
        <v>0</v>
      </c>
    </row>
    <row r="38" spans="1:7" x14ac:dyDescent="0.3">
      <c r="A38" s="39">
        <v>35</v>
      </c>
      <c r="B38" s="38" t="s">
        <v>27</v>
      </c>
      <c r="C38" s="38" t="s">
        <v>79</v>
      </c>
      <c r="D38" s="18" t="s">
        <v>27</v>
      </c>
      <c r="E38" s="39">
        <v>35</v>
      </c>
      <c r="F38" s="9">
        <f>SUMIF('MOST Analysis'!V:V,'VA SVA NVA Summary'!E38,'MOST Analysis'!W:W)</f>
        <v>5.0399999999999991</v>
      </c>
      <c r="G38" s="10">
        <f t="shared" si="1"/>
        <v>8.3999999999999991E-2</v>
      </c>
    </row>
    <row r="39" spans="1:7" x14ac:dyDescent="0.3">
      <c r="A39" s="39">
        <v>36</v>
      </c>
      <c r="B39" s="38" t="s">
        <v>27</v>
      </c>
      <c r="C39" s="38" t="s">
        <v>80</v>
      </c>
      <c r="D39" s="18" t="s">
        <v>27</v>
      </c>
      <c r="E39" s="39">
        <v>36</v>
      </c>
      <c r="F39" s="9">
        <f>SUMIF('MOST Analysis'!V:V,'VA SVA NVA Summary'!E39,'MOST Analysis'!W:W)</f>
        <v>0</v>
      </c>
      <c r="G39" s="10">
        <f t="shared" si="1"/>
        <v>0</v>
      </c>
    </row>
    <row r="40" spans="1:7" x14ac:dyDescent="0.3">
      <c r="A40" s="39">
        <v>37</v>
      </c>
      <c r="B40" s="38" t="s">
        <v>27</v>
      </c>
      <c r="C40" s="38" t="s">
        <v>81</v>
      </c>
      <c r="D40" s="18" t="s">
        <v>27</v>
      </c>
      <c r="E40" s="39">
        <v>37</v>
      </c>
      <c r="F40" s="9">
        <f>SUMIF('MOST Analysis'!V:V,'VA SVA NVA Summary'!E40,'MOST Analysis'!W:W)</f>
        <v>0</v>
      </c>
      <c r="G40" s="10">
        <f t="shared" si="1"/>
        <v>0</v>
      </c>
    </row>
    <row r="41" spans="1:7" x14ac:dyDescent="0.3">
      <c r="A41" s="39">
        <v>38</v>
      </c>
      <c r="B41" s="38" t="s">
        <v>27</v>
      </c>
      <c r="C41" s="38" t="s">
        <v>82</v>
      </c>
      <c r="D41" s="18" t="s">
        <v>27</v>
      </c>
      <c r="E41" s="39">
        <v>38</v>
      </c>
      <c r="F41" s="9">
        <f>SUMIF('MOST Analysis'!V:V,'VA SVA NVA Summary'!E41,'MOST Analysis'!W:W)</f>
        <v>0</v>
      </c>
      <c r="G41" s="10">
        <f t="shared" si="1"/>
        <v>0</v>
      </c>
    </row>
    <row r="42" spans="1:7" x14ac:dyDescent="0.3">
      <c r="A42" s="39">
        <v>39</v>
      </c>
      <c r="B42" s="38" t="s">
        <v>27</v>
      </c>
      <c r="C42" s="38" t="s">
        <v>83</v>
      </c>
      <c r="D42" s="18" t="s">
        <v>27</v>
      </c>
      <c r="E42" s="39">
        <v>39</v>
      </c>
      <c r="F42" s="9">
        <f>SUMIF('MOST Analysis'!V:V,'VA SVA NVA Summary'!E42,'MOST Analysis'!W:W)</f>
        <v>0</v>
      </c>
      <c r="G42" s="10">
        <f t="shared" si="1"/>
        <v>0</v>
      </c>
    </row>
    <row r="43" spans="1:7" x14ac:dyDescent="0.3">
      <c r="A43" s="39">
        <v>40</v>
      </c>
      <c r="B43" s="38" t="s">
        <v>27</v>
      </c>
      <c r="C43" s="38" t="s">
        <v>84</v>
      </c>
      <c r="D43" s="18" t="s">
        <v>27</v>
      </c>
      <c r="E43" s="39">
        <v>40</v>
      </c>
      <c r="F43" s="9">
        <f>SUMIF('MOST Analysis'!V:V,'VA SVA NVA Summary'!E43,'MOST Analysis'!W:W)</f>
        <v>0</v>
      </c>
      <c r="G43" s="10">
        <f t="shared" si="1"/>
        <v>0</v>
      </c>
    </row>
    <row r="44" spans="1:7" x14ac:dyDescent="0.3">
      <c r="A44" s="39">
        <v>41</v>
      </c>
      <c r="B44" s="38" t="s">
        <v>27</v>
      </c>
      <c r="C44" s="38" t="s">
        <v>85</v>
      </c>
      <c r="D44" s="18" t="s">
        <v>27</v>
      </c>
      <c r="E44" s="39">
        <v>41</v>
      </c>
      <c r="F44" s="9">
        <f>SUMIF('MOST Analysis'!V:V,'VA SVA NVA Summary'!E44,'MOST Analysis'!W:W)</f>
        <v>0</v>
      </c>
      <c r="G44" s="10">
        <f t="shared" si="1"/>
        <v>0</v>
      </c>
    </row>
    <row r="45" spans="1:7" x14ac:dyDescent="0.3">
      <c r="A45" s="39">
        <v>42</v>
      </c>
      <c r="B45" s="38" t="s">
        <v>27</v>
      </c>
      <c r="C45" s="38" t="s">
        <v>86</v>
      </c>
      <c r="D45" s="18" t="s">
        <v>27</v>
      </c>
      <c r="E45" s="39">
        <v>42</v>
      </c>
      <c r="F45" s="9">
        <f>SUMIF('MOST Analysis'!V:V,'VA SVA NVA Summary'!E45,'MOST Analysis'!W:W)</f>
        <v>0</v>
      </c>
      <c r="G45" s="10">
        <f t="shared" si="1"/>
        <v>0</v>
      </c>
    </row>
    <row r="46" spans="1:7" x14ac:dyDescent="0.3">
      <c r="A46" s="39">
        <v>43</v>
      </c>
      <c r="B46" s="38" t="s">
        <v>27</v>
      </c>
      <c r="C46" s="38" t="s">
        <v>87</v>
      </c>
      <c r="D46" s="18" t="s">
        <v>27</v>
      </c>
      <c r="E46" s="39">
        <v>43</v>
      </c>
      <c r="F46" s="9">
        <f>SUMIF('MOST Analysis'!V:V,'VA SVA NVA Summary'!E46,'MOST Analysis'!W:W)</f>
        <v>0</v>
      </c>
      <c r="G46" s="10">
        <f t="shared" si="1"/>
        <v>0</v>
      </c>
    </row>
    <row r="47" spans="1:7" x14ac:dyDescent="0.3">
      <c r="A47" s="39">
        <v>44</v>
      </c>
      <c r="B47" s="38" t="s">
        <v>27</v>
      </c>
      <c r="C47" s="32" t="s">
        <v>88</v>
      </c>
      <c r="D47" s="18" t="s">
        <v>27</v>
      </c>
      <c r="E47" s="39">
        <v>44</v>
      </c>
      <c r="F47" s="9">
        <f>SUMIF('MOST Analysis'!V:V,'VA SVA NVA Summary'!E47,'MOST Analysis'!W:W)</f>
        <v>0</v>
      </c>
      <c r="G47" s="10">
        <f t="shared" si="1"/>
        <v>0</v>
      </c>
    </row>
    <row r="48" spans="1:7" x14ac:dyDescent="0.3">
      <c r="A48" s="39">
        <v>45</v>
      </c>
      <c r="B48" s="38" t="s">
        <v>27</v>
      </c>
      <c r="C48" s="38" t="s">
        <v>89</v>
      </c>
      <c r="D48" s="18" t="s">
        <v>27</v>
      </c>
      <c r="E48" s="39">
        <v>45</v>
      </c>
      <c r="F48" s="9">
        <f>SUMIF('MOST Analysis'!V:V,'VA SVA NVA Summary'!E48,'MOST Analysis'!W:W)</f>
        <v>0</v>
      </c>
      <c r="G48" s="10">
        <f t="shared" si="1"/>
        <v>0</v>
      </c>
    </row>
    <row r="49" spans="1:7" x14ac:dyDescent="0.3">
      <c r="A49" s="39">
        <v>46</v>
      </c>
      <c r="B49" s="38" t="s">
        <v>27</v>
      </c>
      <c r="C49" s="38" t="s">
        <v>90</v>
      </c>
      <c r="D49" s="18" t="s">
        <v>27</v>
      </c>
      <c r="E49" s="39">
        <v>46</v>
      </c>
      <c r="F49" s="9">
        <f>SUMIF('MOST Analysis'!V:V,'VA SVA NVA Summary'!E49,'MOST Analysis'!W:W)</f>
        <v>0</v>
      </c>
      <c r="G49" s="10">
        <f t="shared" si="1"/>
        <v>0</v>
      </c>
    </row>
    <row r="50" spans="1:7" x14ac:dyDescent="0.3">
      <c r="A50" s="39">
        <v>47</v>
      </c>
      <c r="B50" s="38" t="s">
        <v>27</v>
      </c>
      <c r="C50" s="38" t="s">
        <v>91</v>
      </c>
      <c r="D50" s="18" t="s">
        <v>27</v>
      </c>
      <c r="E50" s="39">
        <v>47</v>
      </c>
      <c r="F50" s="9">
        <f>SUMIF('MOST Analysis'!V:V,'VA SVA NVA Summary'!E50,'MOST Analysis'!W:W)</f>
        <v>0</v>
      </c>
      <c r="G50" s="10">
        <f t="shared" si="1"/>
        <v>0</v>
      </c>
    </row>
    <row r="51" spans="1:7" x14ac:dyDescent="0.3">
      <c r="A51" s="39">
        <v>48</v>
      </c>
      <c r="B51" s="38" t="s">
        <v>27</v>
      </c>
      <c r="C51" s="32" t="s">
        <v>92</v>
      </c>
      <c r="D51" s="18" t="s">
        <v>27</v>
      </c>
      <c r="E51" s="39">
        <v>48</v>
      </c>
      <c r="F51" s="9">
        <v>0</v>
      </c>
      <c r="G51" s="10">
        <v>0</v>
      </c>
    </row>
    <row r="52" spans="1:7" x14ac:dyDescent="0.3">
      <c r="A52" s="39">
        <v>49</v>
      </c>
      <c r="B52" s="38" t="s">
        <v>27</v>
      </c>
      <c r="C52" s="32" t="s">
        <v>93</v>
      </c>
      <c r="D52" s="18" t="s">
        <v>27</v>
      </c>
      <c r="E52" s="39">
        <v>49</v>
      </c>
      <c r="F52" s="9">
        <f>SUMIF('MOST Analysis'!V:V,'VA SVA NVA Summary'!E52,'MOST Analysis'!W:W)</f>
        <v>0</v>
      </c>
      <c r="G52" s="10">
        <f t="shared" si="1"/>
        <v>0</v>
      </c>
    </row>
    <row r="53" spans="1:7" x14ac:dyDescent="0.3">
      <c r="F53" s="19">
        <f>SUM(F3:F52)</f>
        <v>21.959999999999997</v>
      </c>
      <c r="G53" s="20">
        <f>SUM(G3:G52)</f>
        <v>0.36599999999999999</v>
      </c>
    </row>
  </sheetData>
  <autoFilter ref="A1:G53" xr:uid="{5C692D15-BBF6-4C98-A2E5-B534560ADBA7}"/>
  <conditionalFormatting sqref="I3:I7">
    <cfRule type="cellIs" dxfId="0" priority="1" operator="equal">
      <formula>#N/A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Metadata/LabelInfo.xml><?xml version="1.0" encoding="utf-8"?>
<clbl:labelList xmlns:clbl="http://schemas.microsoft.com/office/2020/mipLabelMetadata">
  <clbl:label id="{657490d4-cf0e-45f4-b74f-4d57b24751ce}" enabled="0" method="" siteId="{657490d4-cf0e-45f4-b74f-4d57b24751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MOST Analysis</vt:lpstr>
      <vt:lpstr>VA SVA NVA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Pramod Shewale</dc:creator>
  <cp:keywords/>
  <dc:description/>
  <cp:lastModifiedBy>Gajanan Bhombe</cp:lastModifiedBy>
  <cp:revision/>
  <dcterms:created xsi:type="dcterms:W3CDTF">2024-07-18T07:25:05Z</dcterms:created>
  <dcterms:modified xsi:type="dcterms:W3CDTF">2025-01-07T10:06:04Z</dcterms:modified>
  <cp:category/>
  <cp:contentStatus/>
</cp:coreProperties>
</file>